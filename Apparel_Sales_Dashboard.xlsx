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af2fa56bb79ca2e7/Desktop/"/>
    </mc:Choice>
  </mc:AlternateContent>
  <xr:revisionPtr revIDLastSave="12" documentId="8_{BF4CF482-88A6-405E-B2B3-B55742107423}" xr6:coauthVersionLast="47" xr6:coauthVersionMax="47" xr10:uidLastSave="{CF1CF438-C846-4F85-A478-FADEF5370D69}"/>
  <bookViews>
    <workbookView xWindow="-108" yWindow="-108" windowWidth="23256" windowHeight="12456" activeTab="2" xr2:uid="{80AEA5C8-92F1-4F40-9F5D-7A4ED04FD2ED}"/>
  </bookViews>
  <sheets>
    <sheet name="Sheet4" sheetId="4" r:id="rId1"/>
    <sheet name="Sheet1" sheetId="7" r:id="rId2"/>
    <sheet name="dashboard" sheetId="5" r:id="rId3"/>
    <sheet name="Sheet2" sheetId="2" r:id="rId4"/>
  </sheets>
  <definedNames>
    <definedName name="Slicer_Gender_Value">#N/A</definedName>
    <definedName name="Slicer_Order_Mod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4" i="4" l="1"/>
  <c r="G34" i="4"/>
  <c r="H34" i="4"/>
  <c r="E34" i="4"/>
  <c r="E35" i="4"/>
  <c r="F35" i="4"/>
  <c r="G35" i="4"/>
  <c r="H35" i="4"/>
  <c r="E36" i="4"/>
  <c r="F36" i="4"/>
  <c r="G36" i="4"/>
  <c r="H36" i="4"/>
  <c r="E37" i="4"/>
  <c r="F37" i="4"/>
  <c r="G37" i="4"/>
  <c r="H37" i="4"/>
  <c r="E38" i="4"/>
  <c r="F38" i="4"/>
  <c r="G38" i="4"/>
  <c r="H38" i="4"/>
  <c r="E39" i="4"/>
  <c r="F39" i="4"/>
  <c r="G39" i="4"/>
  <c r="H39" i="4"/>
  <c r="D36" i="4"/>
  <c r="D37" i="4"/>
  <c r="D38" i="4"/>
  <c r="D39" i="4"/>
  <c r="D35" i="4"/>
  <c r="G4" i="4"/>
  <c r="K4" i="4"/>
  <c r="H4" i="4"/>
  <c r="I4" i="4"/>
  <c r="J4" i="4"/>
</calcChain>
</file>

<file path=xl/sharedStrings.xml><?xml version="1.0" encoding="utf-8"?>
<sst xmlns="http://schemas.openxmlformats.org/spreadsheetml/2006/main" count="284" uniqueCount="97">
  <si>
    <t>Product</t>
  </si>
  <si>
    <t>TX ID</t>
  </si>
  <si>
    <t>Quantity</t>
  </si>
  <si>
    <t>Unit Price</t>
  </si>
  <si>
    <t>Amount</t>
  </si>
  <si>
    <t>Order Date</t>
  </si>
  <si>
    <t>Ship Date</t>
  </si>
  <si>
    <t>Customer Gender</t>
  </si>
  <si>
    <t>Order Mode</t>
  </si>
  <si>
    <t>Rating</t>
  </si>
  <si>
    <t>State</t>
  </si>
  <si>
    <t>County</t>
  </si>
  <si>
    <t>Days to Deliver</t>
  </si>
  <si>
    <t>Weeknum</t>
  </si>
  <si>
    <t>Gender Value</t>
  </si>
  <si>
    <t>TX500001</t>
  </si>
  <si>
    <t>Shorts</t>
  </si>
  <si>
    <t>M</t>
  </si>
  <si>
    <t>App</t>
  </si>
  <si>
    <t>California</t>
  </si>
  <si>
    <t>Alpine County</t>
  </si>
  <si>
    <t>Unknown</t>
  </si>
  <si>
    <t>TX500002</t>
  </si>
  <si>
    <t>Tank Tops</t>
  </si>
  <si>
    <t>Contra Costa County</t>
  </si>
  <si>
    <t>Male</t>
  </si>
  <si>
    <t>TX500003</t>
  </si>
  <si>
    <t>Sneakers</t>
  </si>
  <si>
    <t>F</t>
  </si>
  <si>
    <t>Fresno County</t>
  </si>
  <si>
    <t>Female</t>
  </si>
  <si>
    <t>TX500004</t>
  </si>
  <si>
    <t>Workout Tops</t>
  </si>
  <si>
    <t>TX500005</t>
  </si>
  <si>
    <t>Graphic Tees</t>
  </si>
  <si>
    <t>Los Angeles County</t>
  </si>
  <si>
    <t>TX500006</t>
  </si>
  <si>
    <t>TX500007</t>
  </si>
  <si>
    <t>Sandals</t>
  </si>
  <si>
    <t>Website</t>
  </si>
  <si>
    <t>TX500008</t>
  </si>
  <si>
    <t>Jeans</t>
  </si>
  <si>
    <t>TX500009</t>
  </si>
  <si>
    <t>Hoodies &amp; Sweatshirts</t>
  </si>
  <si>
    <t>Target.com</t>
  </si>
  <si>
    <t>TX500010</t>
  </si>
  <si>
    <t>T-Shirts</t>
  </si>
  <si>
    <t>TX500011</t>
  </si>
  <si>
    <t>Sundresses</t>
  </si>
  <si>
    <t>TX500012</t>
  </si>
  <si>
    <t>TX500013</t>
  </si>
  <si>
    <t>TX500014</t>
  </si>
  <si>
    <t>Instagram</t>
  </si>
  <si>
    <t>Nevada County</t>
  </si>
  <si>
    <t>TX500015</t>
  </si>
  <si>
    <t>Bikinis</t>
  </si>
  <si>
    <t>Placer County</t>
  </si>
  <si>
    <t>TX500016</t>
  </si>
  <si>
    <t>Sacramento County</t>
  </si>
  <si>
    <t>TX500017</t>
  </si>
  <si>
    <t>Partner App</t>
  </si>
  <si>
    <t>TX500018</t>
  </si>
  <si>
    <t>San Bernardino County</t>
  </si>
  <si>
    <t>TX500019</t>
  </si>
  <si>
    <t>TX500020</t>
  </si>
  <si>
    <t>San Diego County</t>
  </si>
  <si>
    <t>TX500021</t>
  </si>
  <si>
    <t>TX500022</t>
  </si>
  <si>
    <t>TX500023</t>
  </si>
  <si>
    <t>TX500024</t>
  </si>
  <si>
    <t>Maxi Dresses</t>
  </si>
  <si>
    <t>TX500025</t>
  </si>
  <si>
    <t>Casual Dresses</t>
  </si>
  <si>
    <t>TX500026</t>
  </si>
  <si>
    <t>San Mateo County</t>
  </si>
  <si>
    <t>TX500027</t>
  </si>
  <si>
    <t>Santa Barbara County</t>
  </si>
  <si>
    <t>TX500028</t>
  </si>
  <si>
    <t>Tote Bags</t>
  </si>
  <si>
    <t>Santa Clara County</t>
  </si>
  <si>
    <t>TX500029</t>
  </si>
  <si>
    <t>Tehama County</t>
  </si>
  <si>
    <t>Row Labels</t>
  </si>
  <si>
    <t>Grand Total</t>
  </si>
  <si>
    <t>Count of TX ID</t>
  </si>
  <si>
    <t>Sum of Quantity</t>
  </si>
  <si>
    <t>Sum of Amount</t>
  </si>
  <si>
    <t>Average of Rating</t>
  </si>
  <si>
    <t>Average of Days to Deliver</t>
  </si>
  <si>
    <t>Column Labels</t>
  </si>
  <si>
    <t xml:space="preserve">🛒 Order </t>
  </si>
  <si>
    <t>📦Quantity</t>
  </si>
  <si>
    <t xml:space="preserve">☀️Avg days </t>
  </si>
  <si>
    <t>💰Amount</t>
  </si>
  <si>
    <t>⭐Rating</t>
  </si>
  <si>
    <t>🛍️ Apparel Sales &amp; Customer Insights Dashboard</t>
  </si>
  <si>
    <t xml:space="preserve">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</si>
</sst>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scheme val="minor"/>
    </font>
    <font>
      <sz val="11"/>
      <color theme="1"/>
      <name val="Calibri"/>
      <family val="2"/>
      <scheme val="minor"/>
    </font>
    <font>
      <b/>
      <sz val="11"/>
      <color theme="1" tint="4.9989318521683403E-2"/>
      <name val="Calibri"/>
      <family val="2"/>
      <scheme val="minor"/>
    </font>
    <font>
      <b/>
      <sz val="14"/>
      <color theme="1"/>
      <name val="Calibri"/>
      <family val="2"/>
      <scheme val="minor"/>
    </font>
    <font>
      <b/>
      <sz val="9"/>
      <color theme="1"/>
      <name val="Calibri"/>
      <family val="2"/>
      <scheme val="minor"/>
    </font>
    <font>
      <sz val="12"/>
      <color theme="1"/>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ck">
        <color theme="0"/>
      </left>
      <right style="thick">
        <color theme="0"/>
      </right>
      <top style="thick">
        <color theme="0"/>
      </top>
      <bottom style="thick">
        <color theme="0"/>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0" fillId="0" borderId="4" xfId="0" applyBorder="1"/>
    <xf numFmtId="15" fontId="0" fillId="0" borderId="4" xfId="0" applyNumberFormat="1" applyBorder="1"/>
    <xf numFmtId="0" fontId="0" fillId="0" borderId="5" xfId="0" applyBorder="1"/>
    <xf numFmtId="15" fontId="0" fillId="0" borderId="5" xfId="0" applyNumberFormat="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6" xfId="0" applyBorder="1"/>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applyAlignment="1">
      <alignment horizontal="center"/>
    </xf>
    <xf numFmtId="0" fontId="7" fillId="0" borderId="0" xfId="0" applyFont="1"/>
    <xf numFmtId="0" fontId="7" fillId="0" borderId="7" xfId="0" applyFont="1" applyBorder="1" applyAlignment="1">
      <alignment horizontal="center"/>
    </xf>
    <xf numFmtId="165" fontId="7" fillId="0" borderId="7" xfId="1" applyNumberFormat="1" applyFont="1" applyBorder="1" applyAlignment="1">
      <alignment horizontal="center"/>
    </xf>
  </cellXfs>
  <cellStyles count="2">
    <cellStyle name="Normal" xfId="0" builtinId="0"/>
    <cellStyle name="Percent" xfId="1" builtinId="5"/>
  </cellStyles>
  <dxfs count="2">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[Apparel_Sales_Dashboard.xlsx]Sheet4!PivotTable4</c:name>
    <c:fmtId val="32"/>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Sheet4!$A$18:$A$31</c:f>
              <c:strCache>
                <c:ptCount val="13"/>
                <c:pt idx="0">
                  <c:v>1</c:v>
                </c:pt>
                <c:pt idx="1">
                  <c:v>2</c:v>
                </c:pt>
                <c:pt idx="2">
                  <c:v>3</c:v>
                </c:pt>
                <c:pt idx="3">
                  <c:v>4</c:v>
                </c:pt>
                <c:pt idx="4">
                  <c:v>5</c:v>
                </c:pt>
                <c:pt idx="5">
                  <c:v>7</c:v>
                </c:pt>
                <c:pt idx="6">
                  <c:v>8</c:v>
                </c:pt>
                <c:pt idx="7">
                  <c:v>9</c:v>
                </c:pt>
                <c:pt idx="8">
                  <c:v>10</c:v>
                </c:pt>
                <c:pt idx="9">
                  <c:v>11</c:v>
                </c:pt>
                <c:pt idx="10">
                  <c:v>12</c:v>
                </c:pt>
                <c:pt idx="11">
                  <c:v>19</c:v>
                </c:pt>
                <c:pt idx="12">
                  <c:v>27</c:v>
                </c:pt>
              </c:strCache>
            </c:strRef>
          </c:cat>
          <c:val>
            <c:numRef>
              <c:f>Sheet4!$B$18:$B$31</c:f>
              <c:numCache>
                <c:formatCode>General</c:formatCode>
                <c:ptCount val="13"/>
                <c:pt idx="0">
                  <c:v>4</c:v>
                </c:pt>
                <c:pt idx="1">
                  <c:v>4</c:v>
                </c:pt>
                <c:pt idx="2">
                  <c:v>4</c:v>
                </c:pt>
                <c:pt idx="3">
                  <c:v>1</c:v>
                </c:pt>
                <c:pt idx="4">
                  <c:v>2</c:v>
                </c:pt>
                <c:pt idx="5">
                  <c:v>3</c:v>
                </c:pt>
                <c:pt idx="6">
                  <c:v>3</c:v>
                </c:pt>
                <c:pt idx="7">
                  <c:v>1</c:v>
                </c:pt>
                <c:pt idx="8">
                  <c:v>2</c:v>
                </c:pt>
                <c:pt idx="9">
                  <c:v>1</c:v>
                </c:pt>
                <c:pt idx="10">
                  <c:v>2</c:v>
                </c:pt>
                <c:pt idx="11">
                  <c:v>1</c:v>
                </c:pt>
                <c:pt idx="12">
                  <c:v>1</c:v>
                </c:pt>
              </c:numCache>
            </c:numRef>
          </c:val>
          <c:extLst>
            <c:ext xmlns:c16="http://schemas.microsoft.com/office/drawing/2014/chart" uri="{C3380CC4-5D6E-409C-BE32-E72D297353CC}">
              <c16:uniqueId val="{00000000-E09D-483C-8F1C-D6D4463AED90}"/>
            </c:ext>
          </c:extLst>
        </c:ser>
        <c:dLbls>
          <c:dLblPos val="inEnd"/>
          <c:showLegendKey val="0"/>
          <c:showVal val="1"/>
          <c:showCatName val="0"/>
          <c:showSerName val="0"/>
          <c:showPercent val="0"/>
          <c:showBubbleSize val="0"/>
        </c:dLbls>
        <c:gapWidth val="100"/>
        <c:overlap val="-24"/>
        <c:axId val="1798872959"/>
        <c:axId val="1416743535"/>
      </c:barChart>
      <c:catAx>
        <c:axId val="179887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6743535"/>
        <c:crosses val="autoZero"/>
        <c:auto val="1"/>
        <c:lblAlgn val="ctr"/>
        <c:lblOffset val="100"/>
        <c:noMultiLvlLbl val="0"/>
      </c:catAx>
      <c:valAx>
        <c:axId val="1416743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87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[Apparel_Sales_Dashboard.xlsx]Sheet4!PivotTable3</c:name>
    <c:fmtId val="12"/>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5647135017214"/>
          <c:y val="9.8039215686274508E-2"/>
          <c:w val="0.7777118769244753"/>
          <c:h val="0.79045179095260154"/>
        </c:manualLayout>
      </c:layout>
      <c:lineChart>
        <c:grouping val="standard"/>
        <c:varyColors val="0"/>
        <c:ser>
          <c:idx val="0"/>
          <c:order val="0"/>
          <c:tx>
            <c:strRef>
              <c:f>Sheet4!$B$7</c:f>
              <c:strCache>
                <c:ptCount val="1"/>
                <c:pt idx="0">
                  <c:v>Sum of Quantity</c:v>
                </c:pt>
              </c:strCache>
            </c:strRef>
          </c:tx>
          <c:spPr>
            <a:ln w="34925" cap="rnd">
              <a:solidFill>
                <a:schemeClr val="accent6">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cat>
            <c:strRef>
              <c:f>Sheet4!$A$8:$A$15</c:f>
              <c:strCache>
                <c:ptCount val="7"/>
                <c:pt idx="0">
                  <c:v>1</c:v>
                </c:pt>
                <c:pt idx="1">
                  <c:v>2</c:v>
                </c:pt>
                <c:pt idx="2">
                  <c:v>3</c:v>
                </c:pt>
                <c:pt idx="3">
                  <c:v>4</c:v>
                </c:pt>
                <c:pt idx="4">
                  <c:v>5</c:v>
                </c:pt>
                <c:pt idx="5">
                  <c:v>6</c:v>
                </c:pt>
                <c:pt idx="6">
                  <c:v>7</c:v>
                </c:pt>
              </c:strCache>
            </c:strRef>
          </c:cat>
          <c:val>
            <c:numRef>
              <c:f>Sheet4!$B$8:$B$15</c:f>
              <c:numCache>
                <c:formatCode>General</c:formatCode>
                <c:ptCount val="7"/>
                <c:pt idx="0">
                  <c:v>91</c:v>
                </c:pt>
                <c:pt idx="1">
                  <c:v>8</c:v>
                </c:pt>
                <c:pt idx="2">
                  <c:v>52</c:v>
                </c:pt>
                <c:pt idx="3">
                  <c:v>7</c:v>
                </c:pt>
                <c:pt idx="4">
                  <c:v>1</c:v>
                </c:pt>
                <c:pt idx="5">
                  <c:v>7</c:v>
                </c:pt>
                <c:pt idx="6">
                  <c:v>27</c:v>
                </c:pt>
              </c:numCache>
            </c:numRef>
          </c:val>
          <c:smooth val="0"/>
          <c:extLst>
            <c:ext xmlns:c16="http://schemas.microsoft.com/office/drawing/2014/chart" uri="{C3380CC4-5D6E-409C-BE32-E72D297353CC}">
              <c16:uniqueId val="{00000000-F06C-43E1-BDF7-0CDF3BF46B07}"/>
            </c:ext>
          </c:extLst>
        </c:ser>
        <c:dLbls>
          <c:showLegendKey val="0"/>
          <c:showVal val="0"/>
          <c:showCatName val="0"/>
          <c:showSerName val="0"/>
          <c:showPercent val="0"/>
          <c:showBubbleSize val="0"/>
        </c:dLbls>
        <c:marker val="1"/>
        <c:smooth val="0"/>
        <c:axId val="1534914831"/>
        <c:axId val="1416742095"/>
      </c:lineChart>
      <c:lineChart>
        <c:grouping val="standard"/>
        <c:varyColors val="0"/>
        <c:ser>
          <c:idx val="1"/>
          <c:order val="1"/>
          <c:tx>
            <c:strRef>
              <c:f>Sheet4!$C$7</c:f>
              <c:strCache>
                <c:ptCount val="1"/>
                <c:pt idx="0">
                  <c:v>Sum of Amount</c:v>
                </c:pt>
              </c:strCache>
            </c:strRef>
          </c:tx>
          <c:spPr>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cat>
            <c:strRef>
              <c:f>Sheet4!$A$8:$A$15</c:f>
              <c:strCache>
                <c:ptCount val="7"/>
                <c:pt idx="0">
                  <c:v>1</c:v>
                </c:pt>
                <c:pt idx="1">
                  <c:v>2</c:v>
                </c:pt>
                <c:pt idx="2">
                  <c:v>3</c:v>
                </c:pt>
                <c:pt idx="3">
                  <c:v>4</c:v>
                </c:pt>
                <c:pt idx="4">
                  <c:v>5</c:v>
                </c:pt>
                <c:pt idx="5">
                  <c:v>6</c:v>
                </c:pt>
                <c:pt idx="6">
                  <c:v>7</c:v>
                </c:pt>
              </c:strCache>
            </c:strRef>
          </c:cat>
          <c:val>
            <c:numRef>
              <c:f>Sheet4!$C$8:$C$15</c:f>
              <c:numCache>
                <c:formatCode>General</c:formatCode>
                <c:ptCount val="7"/>
                <c:pt idx="0">
                  <c:v>4339.7999999999993</c:v>
                </c:pt>
                <c:pt idx="1">
                  <c:v>388</c:v>
                </c:pt>
                <c:pt idx="2">
                  <c:v>2865</c:v>
                </c:pt>
                <c:pt idx="3">
                  <c:v>830.2</c:v>
                </c:pt>
                <c:pt idx="4">
                  <c:v>10.9</c:v>
                </c:pt>
                <c:pt idx="5">
                  <c:v>363.3</c:v>
                </c:pt>
                <c:pt idx="6">
                  <c:v>2386.8000000000002</c:v>
                </c:pt>
              </c:numCache>
            </c:numRef>
          </c:val>
          <c:smooth val="0"/>
          <c:extLst>
            <c:ext xmlns:c16="http://schemas.microsoft.com/office/drawing/2014/chart" uri="{C3380CC4-5D6E-409C-BE32-E72D297353CC}">
              <c16:uniqueId val="{00000001-F06C-43E1-BDF7-0CDF3BF46B07}"/>
            </c:ext>
          </c:extLst>
        </c:ser>
        <c:dLbls>
          <c:showLegendKey val="0"/>
          <c:showVal val="0"/>
          <c:showCatName val="0"/>
          <c:showSerName val="0"/>
          <c:showPercent val="0"/>
          <c:showBubbleSize val="0"/>
        </c:dLbls>
        <c:marker val="1"/>
        <c:smooth val="0"/>
        <c:axId val="1534919007"/>
        <c:axId val="1416702735"/>
      </c:lineChart>
      <c:catAx>
        <c:axId val="1534914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6742095"/>
        <c:crosses val="autoZero"/>
        <c:auto val="1"/>
        <c:lblAlgn val="ctr"/>
        <c:lblOffset val="100"/>
        <c:noMultiLvlLbl val="0"/>
      </c:catAx>
      <c:valAx>
        <c:axId val="1416742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914831"/>
        <c:crosses val="autoZero"/>
        <c:crossBetween val="between"/>
      </c:valAx>
      <c:valAx>
        <c:axId val="14167027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919007"/>
        <c:crosses val="max"/>
        <c:crossBetween val="between"/>
      </c:valAx>
      <c:catAx>
        <c:axId val="1534919007"/>
        <c:scaling>
          <c:orientation val="minMax"/>
        </c:scaling>
        <c:delete val="1"/>
        <c:axPos val="b"/>
        <c:numFmt formatCode="General" sourceLinked="1"/>
        <c:majorTickMark val="none"/>
        <c:minorTickMark val="none"/>
        <c:tickLblPos val="nextTo"/>
        <c:crossAx val="14167027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[Apparel_Sales_Dashboard.xlsx]Sheet4!PivotTable5</c:name>
    <c:fmtId val="54"/>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430107526881722"/>
          <c:y val="0.11342592592592593"/>
          <c:w val="0.59856630824372759"/>
          <c:h val="0.77314814814814814"/>
        </c:manualLayout>
      </c:layout>
      <c:doughnutChart>
        <c:varyColors val="1"/>
        <c:ser>
          <c:idx val="0"/>
          <c:order val="0"/>
          <c:tx>
            <c:strRef>
              <c:f>Sheet4!$F$7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BD-4467-B10E-034808602A5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BD-4467-B10E-034808602A5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BD-4467-B10E-034808602A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Sheet4!$E$8:$E$11</c:f>
              <c:strCache>
                <c:ptCount val="3"/>
                <c:pt idx="0">
                  <c:v>Female</c:v>
                </c:pt>
                <c:pt idx="1">
                  <c:v>Male</c:v>
                </c:pt>
                <c:pt idx="2">
                  <c:v>Unknown</c:v>
                </c:pt>
              </c:strCache>
            </c:strRef>
          </c:cat>
          <c:val>
            <c:numRef>
              <c:f>Sheet4!$F$8:$F$11</c:f>
              <c:numCache>
                <c:formatCode>General</c:formatCode>
                <c:ptCount val="3"/>
                <c:pt idx="0">
                  <c:v>100</c:v>
                </c:pt>
                <c:pt idx="1">
                  <c:v>75</c:v>
                </c:pt>
                <c:pt idx="2">
                  <c:v>18</c:v>
                </c:pt>
              </c:numCache>
            </c:numRef>
          </c:val>
          <c:extLst>
            <c:ext xmlns:c16="http://schemas.microsoft.com/office/drawing/2014/chart" uri="{C3380CC4-5D6E-409C-BE32-E72D297353CC}">
              <c16:uniqueId val="{00000006-CFBD-4467-B10E-034808602A5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[Apparel_Sales_Dashboard.xlsx]Sheet4!PivotTable6</c:name>
    <c:fmtId val="64"/>
  </c:pivotSource>
  <c:chart>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tint val="65000"/>
                <a:lumMod val="60000"/>
                <a:lumOff val="40000"/>
              </a:schemeClr>
            </a:solidFill>
            <a:ln>
              <a:noFill/>
            </a:ln>
            <a:effectLst>
              <a:glow rad="63500">
                <a:schemeClr val="accent6">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shade val="65000"/>
                <a:lumMod val="60000"/>
                <a:lumOff val="40000"/>
              </a:schemeClr>
            </a:solidFill>
            <a:ln>
              <a:noFill/>
            </a:ln>
            <a:effectLst>
              <a:glow rad="63500">
                <a:schemeClr val="accent6">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Sheet4!$I$7:$I$8</c:f>
              <c:strCache>
                <c:ptCount val="1"/>
                <c:pt idx="0">
                  <c:v>Female</c:v>
                </c:pt>
              </c:strCache>
            </c:strRef>
          </c:tx>
          <c:spPr>
            <a:noFill/>
            <a:ln w="9525" cap="flat" cmpd="sng" algn="ctr">
              <a:solidFill>
                <a:schemeClr val="accent6">
                  <a:tint val="65000"/>
                </a:schemeClr>
              </a:solidFill>
              <a:miter lim="800000"/>
            </a:ln>
            <a:effectLst>
              <a:glow rad="63500">
                <a:schemeClr val="accent6">
                  <a:tint val="65000"/>
                  <a:satMod val="175000"/>
                  <a:alpha val="25000"/>
                </a:schemeClr>
              </a:glow>
            </a:effectLst>
          </c:spPr>
          <c:invertIfNegative val="0"/>
          <c:cat>
            <c:strRef>
              <c:f>Sheet4!$H$9:$H$23</c:f>
              <c:strCache>
                <c:ptCount val="14"/>
                <c:pt idx="0">
                  <c:v>Bikinis</c:v>
                </c:pt>
                <c:pt idx="1">
                  <c:v>Casual Dresses</c:v>
                </c:pt>
                <c:pt idx="2">
                  <c:v>Graphic Tees</c:v>
                </c:pt>
                <c:pt idx="3">
                  <c:v>Hoodies &amp; Sweatshirts</c:v>
                </c:pt>
                <c:pt idx="4">
                  <c:v>Jeans</c:v>
                </c:pt>
                <c:pt idx="5">
                  <c:v>Maxi Dresses</c:v>
                </c:pt>
                <c:pt idx="6">
                  <c:v>Sandals</c:v>
                </c:pt>
                <c:pt idx="7">
                  <c:v>Shorts</c:v>
                </c:pt>
                <c:pt idx="8">
                  <c:v>Sneakers</c:v>
                </c:pt>
                <c:pt idx="9">
                  <c:v>Sundresses</c:v>
                </c:pt>
                <c:pt idx="10">
                  <c:v>Tank Tops</c:v>
                </c:pt>
                <c:pt idx="11">
                  <c:v>Tote Bags</c:v>
                </c:pt>
                <c:pt idx="12">
                  <c:v>T-Shirts</c:v>
                </c:pt>
                <c:pt idx="13">
                  <c:v>Workout Tops</c:v>
                </c:pt>
              </c:strCache>
            </c:strRef>
          </c:cat>
          <c:val>
            <c:numRef>
              <c:f>Sheet4!$I$9:$I$23</c:f>
              <c:numCache>
                <c:formatCode>General</c:formatCode>
                <c:ptCount val="14"/>
                <c:pt idx="1">
                  <c:v>8</c:v>
                </c:pt>
                <c:pt idx="2">
                  <c:v>3</c:v>
                </c:pt>
                <c:pt idx="3">
                  <c:v>14</c:v>
                </c:pt>
                <c:pt idx="4">
                  <c:v>8</c:v>
                </c:pt>
                <c:pt idx="5">
                  <c:v>8</c:v>
                </c:pt>
                <c:pt idx="6">
                  <c:v>7</c:v>
                </c:pt>
                <c:pt idx="7">
                  <c:v>10</c:v>
                </c:pt>
                <c:pt idx="8">
                  <c:v>3</c:v>
                </c:pt>
                <c:pt idx="9">
                  <c:v>1</c:v>
                </c:pt>
                <c:pt idx="10">
                  <c:v>12</c:v>
                </c:pt>
                <c:pt idx="12">
                  <c:v>19</c:v>
                </c:pt>
                <c:pt idx="13">
                  <c:v>7</c:v>
                </c:pt>
              </c:numCache>
            </c:numRef>
          </c:val>
          <c:extLst>
            <c:ext xmlns:c16="http://schemas.microsoft.com/office/drawing/2014/chart" uri="{C3380CC4-5D6E-409C-BE32-E72D297353CC}">
              <c16:uniqueId val="{00000000-77C7-417A-BC8D-D403D8E67CB1}"/>
            </c:ext>
          </c:extLst>
        </c:ser>
        <c:ser>
          <c:idx val="1"/>
          <c:order val="1"/>
          <c:tx>
            <c:strRef>
              <c:f>Sheet4!$J$7:$J$8</c:f>
              <c:strCache>
                <c:ptCount val="1"/>
                <c:pt idx="0">
                  <c:v>Male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Sheet4!$H$9:$H$23</c:f>
              <c:strCache>
                <c:ptCount val="14"/>
                <c:pt idx="0">
                  <c:v>Bikinis</c:v>
                </c:pt>
                <c:pt idx="1">
                  <c:v>Casual Dresses</c:v>
                </c:pt>
                <c:pt idx="2">
                  <c:v>Graphic Tees</c:v>
                </c:pt>
                <c:pt idx="3">
                  <c:v>Hoodies &amp; Sweatshirts</c:v>
                </c:pt>
                <c:pt idx="4">
                  <c:v>Jeans</c:v>
                </c:pt>
                <c:pt idx="5">
                  <c:v>Maxi Dresses</c:v>
                </c:pt>
                <c:pt idx="6">
                  <c:v>Sandals</c:v>
                </c:pt>
                <c:pt idx="7">
                  <c:v>Shorts</c:v>
                </c:pt>
                <c:pt idx="8">
                  <c:v>Sneakers</c:v>
                </c:pt>
                <c:pt idx="9">
                  <c:v>Sundresses</c:v>
                </c:pt>
                <c:pt idx="10">
                  <c:v>Tank Tops</c:v>
                </c:pt>
                <c:pt idx="11">
                  <c:v>Tote Bags</c:v>
                </c:pt>
                <c:pt idx="12">
                  <c:v>T-Shirts</c:v>
                </c:pt>
                <c:pt idx="13">
                  <c:v>Workout Tops</c:v>
                </c:pt>
              </c:strCache>
            </c:strRef>
          </c:cat>
          <c:val>
            <c:numRef>
              <c:f>Sheet4!$J$9:$J$23</c:f>
              <c:numCache>
                <c:formatCode>General</c:formatCode>
                <c:ptCount val="14"/>
                <c:pt idx="0">
                  <c:v>1</c:v>
                </c:pt>
                <c:pt idx="4">
                  <c:v>29</c:v>
                </c:pt>
                <c:pt idx="6">
                  <c:v>1</c:v>
                </c:pt>
                <c:pt idx="9">
                  <c:v>14</c:v>
                </c:pt>
                <c:pt idx="10">
                  <c:v>11</c:v>
                </c:pt>
                <c:pt idx="13">
                  <c:v>19</c:v>
                </c:pt>
              </c:numCache>
            </c:numRef>
          </c:val>
          <c:extLst>
            <c:ext xmlns:c16="http://schemas.microsoft.com/office/drawing/2014/chart" uri="{C3380CC4-5D6E-409C-BE32-E72D297353CC}">
              <c16:uniqueId val="{0000002A-5725-4D2B-81ED-028D32A5922B}"/>
            </c:ext>
          </c:extLst>
        </c:ser>
        <c:ser>
          <c:idx val="2"/>
          <c:order val="2"/>
          <c:tx>
            <c:strRef>
              <c:f>Sheet4!$K$7:$K$8</c:f>
              <c:strCache>
                <c:ptCount val="1"/>
                <c:pt idx="0">
                  <c:v>Unknown</c:v>
                </c:pt>
              </c:strCache>
            </c:strRef>
          </c:tx>
          <c:spPr>
            <a:noFill/>
            <a:ln w="9525" cap="flat" cmpd="sng" algn="ctr">
              <a:solidFill>
                <a:schemeClr val="accent6">
                  <a:shade val="65000"/>
                </a:schemeClr>
              </a:solidFill>
              <a:miter lim="800000"/>
            </a:ln>
            <a:effectLst>
              <a:glow rad="63500">
                <a:schemeClr val="accent6">
                  <a:shade val="65000"/>
                  <a:satMod val="175000"/>
                  <a:alpha val="25000"/>
                </a:schemeClr>
              </a:glow>
            </a:effectLst>
          </c:spPr>
          <c:invertIfNegative val="0"/>
          <c:cat>
            <c:strRef>
              <c:f>Sheet4!$H$9:$H$23</c:f>
              <c:strCache>
                <c:ptCount val="14"/>
                <c:pt idx="0">
                  <c:v>Bikinis</c:v>
                </c:pt>
                <c:pt idx="1">
                  <c:v>Casual Dresses</c:v>
                </c:pt>
                <c:pt idx="2">
                  <c:v>Graphic Tees</c:v>
                </c:pt>
                <c:pt idx="3">
                  <c:v>Hoodies &amp; Sweatshirts</c:v>
                </c:pt>
                <c:pt idx="4">
                  <c:v>Jeans</c:v>
                </c:pt>
                <c:pt idx="5">
                  <c:v>Maxi Dresses</c:v>
                </c:pt>
                <c:pt idx="6">
                  <c:v>Sandals</c:v>
                </c:pt>
                <c:pt idx="7">
                  <c:v>Shorts</c:v>
                </c:pt>
                <c:pt idx="8">
                  <c:v>Sneakers</c:v>
                </c:pt>
                <c:pt idx="9">
                  <c:v>Sundresses</c:v>
                </c:pt>
                <c:pt idx="10">
                  <c:v>Tank Tops</c:v>
                </c:pt>
                <c:pt idx="11">
                  <c:v>Tote Bags</c:v>
                </c:pt>
                <c:pt idx="12">
                  <c:v>T-Shirts</c:v>
                </c:pt>
                <c:pt idx="13">
                  <c:v>Workout Tops</c:v>
                </c:pt>
              </c:strCache>
            </c:strRef>
          </c:cat>
          <c:val>
            <c:numRef>
              <c:f>Sheet4!$K$9:$K$23</c:f>
              <c:numCache>
                <c:formatCode>General</c:formatCode>
                <c:ptCount val="14"/>
                <c:pt idx="2">
                  <c:v>3</c:v>
                </c:pt>
                <c:pt idx="4">
                  <c:v>5</c:v>
                </c:pt>
                <c:pt idx="7">
                  <c:v>1</c:v>
                </c:pt>
                <c:pt idx="9">
                  <c:v>5</c:v>
                </c:pt>
                <c:pt idx="11">
                  <c:v>4</c:v>
                </c:pt>
              </c:numCache>
            </c:numRef>
          </c:val>
          <c:extLst>
            <c:ext xmlns:c16="http://schemas.microsoft.com/office/drawing/2014/chart" uri="{C3380CC4-5D6E-409C-BE32-E72D297353CC}">
              <c16:uniqueId val="{0000002B-5725-4D2B-81ED-028D32A5922B}"/>
            </c:ext>
          </c:extLst>
        </c:ser>
        <c:dLbls>
          <c:showLegendKey val="0"/>
          <c:showVal val="0"/>
          <c:showCatName val="0"/>
          <c:showSerName val="0"/>
          <c:showPercent val="0"/>
          <c:showBubbleSize val="0"/>
        </c:dLbls>
        <c:gapWidth val="182"/>
        <c:overlap val="-50"/>
        <c:axId val="1795405119"/>
        <c:axId val="1416712335"/>
      </c:barChart>
      <c:catAx>
        <c:axId val="179540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6712335"/>
        <c:crosses val="autoZero"/>
        <c:auto val="1"/>
        <c:lblAlgn val="ctr"/>
        <c:lblOffset val="100"/>
        <c:noMultiLvlLbl val="0"/>
      </c:catAx>
      <c:valAx>
        <c:axId val="1416712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540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7618</xdr:rowOff>
    </xdr:from>
    <xdr:to>
      <xdr:col>19</xdr:col>
      <xdr:colOff>132522</xdr:colOff>
      <xdr:row>35</xdr:row>
      <xdr:rowOff>145550</xdr:rowOff>
    </xdr:to>
    <xdr:sp macro="" textlink="dashboard!$G$4">
      <xdr:nvSpPr>
        <xdr:cNvPr id="2" name="Rectangle 1">
          <a:extLst>
            <a:ext uri="{FF2B5EF4-FFF2-40B4-BE49-F238E27FC236}">
              <a16:creationId xmlns:a16="http://schemas.microsoft.com/office/drawing/2014/main" id="{F4968D30-3988-3735-102C-715CA282F563}"/>
            </a:ext>
          </a:extLst>
        </xdr:cNvPr>
        <xdr:cNvSpPr/>
      </xdr:nvSpPr>
      <xdr:spPr>
        <a:xfrm>
          <a:off x="0" y="7618"/>
          <a:ext cx="11714922" cy="666573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6F050A21-9213-4229-956A-67F84F26EA6B}"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0</xdr:col>
      <xdr:colOff>0</xdr:colOff>
      <xdr:row>0</xdr:row>
      <xdr:rowOff>22858</xdr:rowOff>
    </xdr:from>
    <xdr:to>
      <xdr:col>3</xdr:col>
      <xdr:colOff>16565</xdr:colOff>
      <xdr:row>35</xdr:row>
      <xdr:rowOff>136989</xdr:rowOff>
    </xdr:to>
    <xdr:sp macro="" textlink="">
      <xdr:nvSpPr>
        <xdr:cNvPr id="3" name="Rectangle 2">
          <a:extLst>
            <a:ext uri="{FF2B5EF4-FFF2-40B4-BE49-F238E27FC236}">
              <a16:creationId xmlns:a16="http://schemas.microsoft.com/office/drawing/2014/main" id="{919EACD3-BDB4-83AE-1F73-101065900A28}"/>
            </a:ext>
          </a:extLst>
        </xdr:cNvPr>
        <xdr:cNvSpPr/>
      </xdr:nvSpPr>
      <xdr:spPr>
        <a:xfrm>
          <a:off x="0" y="22858"/>
          <a:ext cx="1840228" cy="6424176"/>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69288</xdr:colOff>
      <xdr:row>4</xdr:row>
      <xdr:rowOff>163931</xdr:rowOff>
    </xdr:from>
    <xdr:to>
      <xdr:col>2</xdr:col>
      <xdr:colOff>607887</xdr:colOff>
      <xdr:row>7</xdr:row>
      <xdr:rowOff>8562</xdr:rowOff>
    </xdr:to>
    <xdr:sp macro="" textlink="Sheet4!H4">
      <xdr:nvSpPr>
        <xdr:cNvPr id="11" name="TextBox 10">
          <a:extLst>
            <a:ext uri="{FF2B5EF4-FFF2-40B4-BE49-F238E27FC236}">
              <a16:creationId xmlns:a16="http://schemas.microsoft.com/office/drawing/2014/main" id="{C50FC26A-5642-4B9C-8584-864505EBD12C}"/>
            </a:ext>
          </a:extLst>
        </xdr:cNvPr>
        <xdr:cNvSpPr txBox="1"/>
      </xdr:nvSpPr>
      <xdr:spPr>
        <a:xfrm>
          <a:off x="69288" y="883122"/>
          <a:ext cx="1754374" cy="384024"/>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35C95D9-03E9-44C9-ABCF-BB0D982C3F93}" type="TxLink">
            <a:rPr lang="en-US" sz="1800" b="0" i="0" u="none" strike="noStrike" cap="none" spc="0">
              <a:ln w="0"/>
              <a:solidFill>
                <a:schemeClr val="bg1"/>
              </a:solidFill>
              <a:effectLst/>
              <a:latin typeface="Calibri"/>
              <a:ea typeface="Calibri"/>
              <a:cs typeface="Calibri"/>
            </a:rPr>
            <a:pPr marL="0" indent="0" algn="ctr"/>
            <a:t>193</a:t>
          </a:fld>
          <a:endParaRPr lang="en-US" sz="3200" b="0" i="0" u="none" strike="noStrike" cap="none" spc="0">
            <a:ln w="0"/>
            <a:solidFill>
              <a:schemeClr val="bg1"/>
            </a:solidFill>
            <a:effectLst/>
            <a:latin typeface="Calibri"/>
            <a:ea typeface="Calibri"/>
            <a:cs typeface="Calibri"/>
          </a:endParaRPr>
        </a:p>
      </xdr:txBody>
    </xdr:sp>
    <xdr:clientData/>
  </xdr:twoCellAnchor>
  <xdr:twoCellAnchor>
    <xdr:from>
      <xdr:col>0</xdr:col>
      <xdr:colOff>137783</xdr:colOff>
      <xdr:row>8</xdr:row>
      <xdr:rowOff>60015</xdr:rowOff>
    </xdr:from>
    <xdr:to>
      <xdr:col>2</xdr:col>
      <xdr:colOff>506915</xdr:colOff>
      <xdr:row>10</xdr:row>
      <xdr:rowOff>119865</xdr:rowOff>
    </xdr:to>
    <xdr:sp macro="" textlink="Sheet4!I4">
      <xdr:nvSpPr>
        <xdr:cNvPr id="12" name="TextBox 11">
          <a:extLst>
            <a:ext uri="{FF2B5EF4-FFF2-40B4-BE49-F238E27FC236}">
              <a16:creationId xmlns:a16="http://schemas.microsoft.com/office/drawing/2014/main" id="{42F4ADF1-8C60-4250-9DDA-00F5DF68A697}"/>
            </a:ext>
          </a:extLst>
        </xdr:cNvPr>
        <xdr:cNvSpPr txBox="1"/>
      </xdr:nvSpPr>
      <xdr:spPr>
        <a:xfrm>
          <a:off x="137783" y="1498397"/>
          <a:ext cx="1584907" cy="419446"/>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700261-D5FB-4887-9BE3-A393E3439BB7}" type="TxLink">
            <a:rPr lang="en-US" sz="1800" b="0" i="0" u="none" strike="noStrike" cap="none" spc="0">
              <a:ln w="0"/>
              <a:solidFill>
                <a:schemeClr val="bg1"/>
              </a:solidFill>
              <a:effectLst/>
              <a:latin typeface="Calibri"/>
              <a:ea typeface="Calibri"/>
              <a:cs typeface="Calibri"/>
            </a:rPr>
            <a:pPr marL="0" indent="0" algn="ctr"/>
            <a:t>2.586206897</a:t>
          </a:fld>
          <a:endParaRPr lang="en-US" sz="1800" b="0" i="0" u="none" strike="noStrike" cap="none" spc="0">
            <a:ln w="0"/>
            <a:solidFill>
              <a:schemeClr val="bg1"/>
            </a:solidFill>
            <a:effectLst/>
            <a:latin typeface="Calibri"/>
            <a:ea typeface="Calibri"/>
            <a:cs typeface="Calibri"/>
          </a:endParaRPr>
        </a:p>
      </xdr:txBody>
    </xdr:sp>
    <xdr:clientData/>
  </xdr:twoCellAnchor>
  <xdr:twoCellAnchor>
    <xdr:from>
      <xdr:col>0</xdr:col>
      <xdr:colOff>180313</xdr:colOff>
      <xdr:row>11</xdr:row>
      <xdr:rowOff>120984</xdr:rowOff>
    </xdr:from>
    <xdr:to>
      <xdr:col>2</xdr:col>
      <xdr:colOff>549445</xdr:colOff>
      <xdr:row>13</xdr:row>
      <xdr:rowOff>171238</xdr:rowOff>
    </xdr:to>
    <xdr:sp macro="" textlink="Sheet4!J4">
      <xdr:nvSpPr>
        <xdr:cNvPr id="13" name="TextBox 12">
          <a:extLst>
            <a:ext uri="{FF2B5EF4-FFF2-40B4-BE49-F238E27FC236}">
              <a16:creationId xmlns:a16="http://schemas.microsoft.com/office/drawing/2014/main" id="{1529A150-9EDF-4338-A826-106A8B726547}"/>
            </a:ext>
          </a:extLst>
        </xdr:cNvPr>
        <xdr:cNvSpPr txBox="1"/>
      </xdr:nvSpPr>
      <xdr:spPr>
        <a:xfrm>
          <a:off x="180313" y="2098759"/>
          <a:ext cx="1584907" cy="409850"/>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0B2E56B-1932-4EAC-A34C-FDE7DE2B54C7}" type="TxLink">
            <a:rPr lang="en-US" sz="1800" b="0" i="0" u="none" strike="noStrike" cap="none" spc="0">
              <a:ln w="0"/>
              <a:solidFill>
                <a:schemeClr val="bg1"/>
              </a:solidFill>
              <a:effectLst/>
              <a:latin typeface="Calibri"/>
              <a:ea typeface="Calibri"/>
              <a:cs typeface="Calibri"/>
            </a:rPr>
            <a:pPr marL="0" indent="0" algn="ctr"/>
            <a:t>11184</a:t>
          </a:fld>
          <a:endParaRPr lang="en-US" sz="1800" b="0" i="0" u="none" strike="noStrike" cap="none" spc="0">
            <a:ln w="0"/>
            <a:solidFill>
              <a:schemeClr val="bg1"/>
            </a:solidFill>
            <a:effectLst/>
            <a:latin typeface="Calibri"/>
            <a:ea typeface="Calibri"/>
            <a:cs typeface="Calibri"/>
          </a:endParaRPr>
        </a:p>
      </xdr:txBody>
    </xdr:sp>
    <xdr:clientData/>
  </xdr:twoCellAnchor>
  <xdr:twoCellAnchor>
    <xdr:from>
      <xdr:col>0</xdr:col>
      <xdr:colOff>128427</xdr:colOff>
      <xdr:row>15</xdr:row>
      <xdr:rowOff>34247</xdr:rowOff>
    </xdr:from>
    <xdr:to>
      <xdr:col>2</xdr:col>
      <xdr:colOff>505146</xdr:colOff>
      <xdr:row>17</xdr:row>
      <xdr:rowOff>17124</xdr:rowOff>
    </xdr:to>
    <xdr:sp macro="" textlink="Sheet4!K4">
      <xdr:nvSpPr>
        <xdr:cNvPr id="14" name="TextBox 13">
          <a:extLst>
            <a:ext uri="{FF2B5EF4-FFF2-40B4-BE49-F238E27FC236}">
              <a16:creationId xmlns:a16="http://schemas.microsoft.com/office/drawing/2014/main" id="{799B9710-A1FA-4576-9CC5-CE800AA0EA0A}"/>
            </a:ext>
          </a:extLst>
        </xdr:cNvPr>
        <xdr:cNvSpPr txBox="1"/>
      </xdr:nvSpPr>
      <xdr:spPr>
        <a:xfrm>
          <a:off x="128427" y="2731213"/>
          <a:ext cx="1592494" cy="359596"/>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0C09AB3-42C8-4422-BAE8-9C19E7FEF932}" type="TxLink">
            <a:rPr lang="en-US" sz="1800" b="0" i="0" u="none" strike="noStrike" cap="none" spc="0">
              <a:ln w="0"/>
              <a:solidFill>
                <a:schemeClr val="bg1"/>
              </a:solidFill>
              <a:effectLst/>
              <a:latin typeface="Calibri"/>
              <a:ea typeface="Calibri"/>
              <a:cs typeface="Calibri"/>
            </a:rPr>
            <a:pPr marL="0" indent="0" algn="ctr"/>
            <a:t>4.103448276</a:t>
          </a:fld>
          <a:endParaRPr lang="en-US" sz="1800" b="0" i="0" u="none" strike="noStrike" cap="none" spc="0">
            <a:ln w="0"/>
            <a:solidFill>
              <a:schemeClr val="bg1"/>
            </a:solidFill>
            <a:effectLst/>
            <a:latin typeface="Calibri"/>
            <a:ea typeface="Calibri"/>
            <a:cs typeface="Calibri"/>
          </a:endParaRPr>
        </a:p>
      </xdr:txBody>
    </xdr:sp>
    <xdr:clientData/>
  </xdr:twoCellAnchor>
  <xdr:twoCellAnchor>
    <xdr:from>
      <xdr:col>0</xdr:col>
      <xdr:colOff>197715</xdr:colOff>
      <xdr:row>1</xdr:row>
      <xdr:rowOff>102741</xdr:rowOff>
    </xdr:from>
    <xdr:to>
      <xdr:col>2</xdr:col>
      <xdr:colOff>566847</xdr:colOff>
      <xdr:row>3</xdr:row>
      <xdr:rowOff>136989</xdr:rowOff>
    </xdr:to>
    <xdr:sp macro="" textlink="Sheet4!G4">
      <xdr:nvSpPr>
        <xdr:cNvPr id="10" name="TextBox 9">
          <a:extLst>
            <a:ext uri="{FF2B5EF4-FFF2-40B4-BE49-F238E27FC236}">
              <a16:creationId xmlns:a16="http://schemas.microsoft.com/office/drawing/2014/main" id="{17C14B98-EDEB-6901-69C7-ACF9845D134A}"/>
            </a:ext>
          </a:extLst>
        </xdr:cNvPr>
        <xdr:cNvSpPr txBox="1"/>
      </xdr:nvSpPr>
      <xdr:spPr>
        <a:xfrm>
          <a:off x="197715" y="282539"/>
          <a:ext cx="1584907" cy="393843"/>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8E903C-0C67-4FA0-AD63-E44F9EB2225F}" type="TxLink">
            <a:rPr lang="en-US" sz="1800" b="0" i="0" u="none" strike="noStrike" cap="none" spc="0">
              <a:ln w="0"/>
              <a:solidFill>
                <a:schemeClr val="bg1"/>
              </a:solidFill>
              <a:effectLst/>
              <a:latin typeface="Calibri"/>
              <a:ea typeface="Calibri"/>
              <a:cs typeface="Calibri"/>
            </a:rPr>
            <a:pPr algn="ctr"/>
            <a:t>29</a:t>
          </a:fld>
          <a:endParaRPr lang="en-US" sz="3200" b="0" cap="none" spc="0">
            <a:ln w="0"/>
            <a:solidFill>
              <a:schemeClr val="bg1"/>
            </a:solidFill>
            <a:effectLst/>
          </a:endParaRPr>
        </a:p>
      </xdr:txBody>
    </xdr:sp>
    <xdr:clientData/>
  </xdr:twoCellAnchor>
  <xdr:twoCellAnchor>
    <xdr:from>
      <xdr:col>3</xdr:col>
      <xdr:colOff>74264</xdr:colOff>
      <xdr:row>18</xdr:row>
      <xdr:rowOff>154112</xdr:rowOff>
    </xdr:from>
    <xdr:to>
      <xdr:col>8</xdr:col>
      <xdr:colOff>380999</xdr:colOff>
      <xdr:row>35</xdr:row>
      <xdr:rowOff>114840</xdr:rowOff>
    </xdr:to>
    <xdr:graphicFrame macro="">
      <xdr:nvGraphicFramePr>
        <xdr:cNvPr id="17" name="Chart 16">
          <a:extLst>
            <a:ext uri="{FF2B5EF4-FFF2-40B4-BE49-F238E27FC236}">
              <a16:creationId xmlns:a16="http://schemas.microsoft.com/office/drawing/2014/main" id="{90231CEE-1ED4-425F-B5CF-E56111540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73706</xdr:colOff>
      <xdr:row>4</xdr:row>
      <xdr:rowOff>102742</xdr:rowOff>
    </xdr:from>
    <xdr:to>
      <xdr:col>19</xdr:col>
      <xdr:colOff>98553</xdr:colOff>
      <xdr:row>35</xdr:row>
      <xdr:rowOff>102742</xdr:rowOff>
    </xdr:to>
    <xdr:grpSp>
      <xdr:nvGrpSpPr>
        <xdr:cNvPr id="9" name="Group 8">
          <a:extLst>
            <a:ext uri="{FF2B5EF4-FFF2-40B4-BE49-F238E27FC236}">
              <a16:creationId xmlns:a16="http://schemas.microsoft.com/office/drawing/2014/main" id="{2DA532D5-D080-89B0-9E10-158111F93F27}"/>
            </a:ext>
          </a:extLst>
        </xdr:cNvPr>
        <xdr:cNvGrpSpPr/>
      </xdr:nvGrpSpPr>
      <xdr:grpSpPr>
        <a:xfrm>
          <a:off x="1897369" y="821933"/>
          <a:ext cx="9751049" cy="5590854"/>
          <a:chOff x="1923054" y="0"/>
          <a:chExt cx="9751049" cy="5775317"/>
        </a:xfrm>
      </xdr:grpSpPr>
      <xdr:graphicFrame macro="">
        <xdr:nvGraphicFramePr>
          <xdr:cNvPr id="16" name="Chart 15">
            <a:extLst>
              <a:ext uri="{FF2B5EF4-FFF2-40B4-BE49-F238E27FC236}">
                <a16:creationId xmlns:a16="http://schemas.microsoft.com/office/drawing/2014/main" id="{FAB99CA4-B806-45BA-8454-94506E7F79D1}"/>
              </a:ext>
            </a:extLst>
          </xdr:cNvPr>
          <xdr:cNvGraphicFramePr>
            <a:graphicFrameLocks/>
          </xdr:cNvGraphicFramePr>
        </xdr:nvGraphicFramePr>
        <xdr:xfrm>
          <a:off x="1923054" y="32466"/>
          <a:ext cx="3016617" cy="243742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14760DDE-880E-48CD-BA94-DDB7349E788D}"/>
              </a:ext>
            </a:extLst>
          </xdr:cNvPr>
          <xdr:cNvGraphicFramePr>
            <a:graphicFrameLocks/>
          </xdr:cNvGraphicFramePr>
        </xdr:nvGraphicFramePr>
        <xdr:xfrm>
          <a:off x="5488463" y="2662439"/>
          <a:ext cx="3292748" cy="310403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19">
            <a:extLst>
              <a:ext uri="{FF2B5EF4-FFF2-40B4-BE49-F238E27FC236}">
                <a16:creationId xmlns:a16="http://schemas.microsoft.com/office/drawing/2014/main" id="{6CA70D0A-F19F-42A4-B0F1-F307FD4685A9}"/>
              </a:ext>
            </a:extLst>
          </xdr:cNvPr>
          <xdr:cNvGraphicFramePr>
            <a:graphicFrameLocks/>
          </xdr:cNvGraphicFramePr>
        </xdr:nvGraphicFramePr>
        <xdr:xfrm>
          <a:off x="8958512" y="0"/>
          <a:ext cx="2715591" cy="577531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99390</xdr:colOff>
      <xdr:row>25</xdr:row>
      <xdr:rowOff>51371</xdr:rowOff>
    </xdr:from>
    <xdr:to>
      <xdr:col>2</xdr:col>
      <xdr:colOff>538369</xdr:colOff>
      <xdr:row>34</xdr:row>
      <xdr:rowOff>97769</xdr:rowOff>
    </xdr:to>
    <mc:AlternateContent xmlns:mc="http://schemas.openxmlformats.org/markup-compatibility/2006" xmlns:a14="http://schemas.microsoft.com/office/drawing/2010/main">
      <mc:Choice Requires="a14">
        <xdr:graphicFrame macro="">
          <xdr:nvGraphicFramePr>
            <xdr:cNvPr id="23" name="Order Mode">
              <a:extLst>
                <a:ext uri="{FF2B5EF4-FFF2-40B4-BE49-F238E27FC236}">
                  <a16:creationId xmlns:a16="http://schemas.microsoft.com/office/drawing/2014/main" id="{4F5467C1-579C-4018-A510-0370F0C89B7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9390" y="4563438"/>
              <a:ext cx="1654754" cy="1664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107953</xdr:colOff>
      <xdr:row>17</xdr:row>
      <xdr:rowOff>158733</xdr:rowOff>
    </xdr:from>
    <xdr:to>
      <xdr:col>2</xdr:col>
      <xdr:colOff>555214</xdr:colOff>
      <xdr:row>24</xdr:row>
      <xdr:rowOff>59110</xdr:rowOff>
    </xdr:to>
    <mc:AlternateContent xmlns:mc="http://schemas.openxmlformats.org/markup-compatibility/2006" xmlns:a14="http://schemas.microsoft.com/office/drawing/2010/main">
      <mc:Choice Requires="a14">
        <xdr:graphicFrame macro="">
          <xdr:nvGraphicFramePr>
            <xdr:cNvPr id="22" name="Gender Value">
              <a:extLst>
                <a:ext uri="{FF2B5EF4-FFF2-40B4-BE49-F238E27FC236}">
                  <a16:creationId xmlns:a16="http://schemas.microsoft.com/office/drawing/2014/main" id="{C967E5FB-A0CA-4CED-978D-583C292E311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7953" y="3232418"/>
              <a:ext cx="1663036" cy="1158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299664</xdr:colOff>
      <xdr:row>0</xdr:row>
      <xdr:rowOff>25685</xdr:rowOff>
    </xdr:from>
    <xdr:to>
      <xdr:col>2</xdr:col>
      <xdr:colOff>342473</xdr:colOff>
      <xdr:row>2</xdr:row>
      <xdr:rowOff>59931</xdr:rowOff>
    </xdr:to>
    <xdr:sp macro="" textlink="Sheet4!O11">
      <xdr:nvSpPr>
        <xdr:cNvPr id="4" name="TextBox 3">
          <a:extLst>
            <a:ext uri="{FF2B5EF4-FFF2-40B4-BE49-F238E27FC236}">
              <a16:creationId xmlns:a16="http://schemas.microsoft.com/office/drawing/2014/main" id="{DDE949E0-058F-298F-3BA7-005FF7DC55D1}"/>
            </a:ext>
          </a:extLst>
        </xdr:cNvPr>
        <xdr:cNvSpPr txBox="1"/>
      </xdr:nvSpPr>
      <xdr:spPr>
        <a:xfrm>
          <a:off x="299664" y="25685"/>
          <a:ext cx="1258584" cy="39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EB74A0F-99F3-47D0-B875-679DC5F8349B}" type="TxLink">
            <a:rPr lang="en-US" sz="1400" b="1" i="0" u="none" strike="noStrike">
              <a:solidFill>
                <a:schemeClr val="bg2"/>
              </a:solidFill>
              <a:latin typeface="Calibri"/>
              <a:ea typeface="Calibri"/>
              <a:cs typeface="Calibri"/>
            </a:rPr>
            <a:pPr marL="0" indent="0" algn="ctr"/>
            <a:t>🛒 Order </a:t>
          </a:fld>
          <a:endParaRPr lang="en-IN" sz="1400" b="1" i="0" u="none" strike="noStrike">
            <a:solidFill>
              <a:schemeClr val="bg2"/>
            </a:solidFill>
            <a:latin typeface="Calibri"/>
            <a:ea typeface="Calibri"/>
            <a:cs typeface="Calibri"/>
          </a:endParaRPr>
        </a:p>
      </xdr:txBody>
    </xdr:sp>
    <xdr:clientData/>
  </xdr:twoCellAnchor>
  <xdr:twoCellAnchor>
    <xdr:from>
      <xdr:col>0</xdr:col>
      <xdr:colOff>77056</xdr:colOff>
      <xdr:row>3</xdr:row>
      <xdr:rowOff>23973</xdr:rowOff>
    </xdr:from>
    <xdr:to>
      <xdr:col>2</xdr:col>
      <xdr:colOff>530832</xdr:colOff>
      <xdr:row>5</xdr:row>
      <xdr:rowOff>77057</xdr:rowOff>
    </xdr:to>
    <xdr:sp macro="" textlink="Sheet4!P11">
      <xdr:nvSpPr>
        <xdr:cNvPr id="5" name="TextBox 4">
          <a:extLst>
            <a:ext uri="{FF2B5EF4-FFF2-40B4-BE49-F238E27FC236}">
              <a16:creationId xmlns:a16="http://schemas.microsoft.com/office/drawing/2014/main" id="{5749EDDF-0E49-4EDB-83CC-ADDAC0281BF2}"/>
            </a:ext>
          </a:extLst>
        </xdr:cNvPr>
        <xdr:cNvSpPr txBox="1"/>
      </xdr:nvSpPr>
      <xdr:spPr>
        <a:xfrm>
          <a:off x="77056" y="563366"/>
          <a:ext cx="1669551" cy="412680"/>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01B500-A742-493D-BB27-89C224EE9F23}" type="TxLink">
            <a:rPr lang="en-US" sz="1800" b="0" i="0" u="none" strike="noStrike" cap="none" spc="0">
              <a:ln w="0"/>
              <a:solidFill>
                <a:schemeClr val="bg1"/>
              </a:solidFill>
              <a:effectLst/>
              <a:latin typeface="Calibri"/>
              <a:ea typeface="Calibri"/>
              <a:cs typeface="Calibri"/>
            </a:rPr>
            <a:pPr marL="0" indent="0" algn="ctr"/>
            <a:t>📦Quantity</a:t>
          </a:fld>
          <a:endParaRPr lang="en-US" sz="1800" b="0" i="0" u="none" strike="noStrike" cap="none" spc="0">
            <a:ln w="0"/>
            <a:solidFill>
              <a:schemeClr val="bg1"/>
            </a:solidFill>
            <a:effectLst/>
            <a:latin typeface="Calibri"/>
            <a:ea typeface="Calibri"/>
            <a:cs typeface="Calibri"/>
          </a:endParaRPr>
        </a:p>
      </xdr:txBody>
    </xdr:sp>
    <xdr:clientData/>
  </xdr:twoCellAnchor>
  <xdr:twoCellAnchor>
    <xdr:from>
      <xdr:col>0</xdr:col>
      <xdr:colOff>145551</xdr:colOff>
      <xdr:row>6</xdr:row>
      <xdr:rowOff>133563</xdr:rowOff>
    </xdr:from>
    <xdr:to>
      <xdr:col>2</xdr:col>
      <xdr:colOff>488023</xdr:colOff>
      <xdr:row>8</xdr:row>
      <xdr:rowOff>176372</xdr:rowOff>
    </xdr:to>
    <xdr:sp macro="" textlink="Sheet4!Q11">
      <xdr:nvSpPr>
        <xdr:cNvPr id="6" name="TextBox 5">
          <a:extLst>
            <a:ext uri="{FF2B5EF4-FFF2-40B4-BE49-F238E27FC236}">
              <a16:creationId xmlns:a16="http://schemas.microsoft.com/office/drawing/2014/main" id="{BA121A0D-ACA6-41AB-9185-100E1D0687D0}"/>
            </a:ext>
          </a:extLst>
        </xdr:cNvPr>
        <xdr:cNvSpPr txBox="1"/>
      </xdr:nvSpPr>
      <xdr:spPr>
        <a:xfrm>
          <a:off x="145551" y="1212350"/>
          <a:ext cx="1558247" cy="402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A58CBD-FCEF-4E4E-A6D5-AC916AF9FFFA}" type="TxLink">
            <a:rPr lang="en-US" sz="1400" b="1" i="0" u="none" strike="noStrike">
              <a:solidFill>
                <a:schemeClr val="bg2"/>
              </a:solidFill>
              <a:latin typeface="Calibri"/>
              <a:ea typeface="Calibri"/>
              <a:cs typeface="Calibri"/>
            </a:rPr>
            <a:pPr marL="0" indent="0" algn="ctr"/>
            <a:t>☀️Avg days </a:t>
          </a:fld>
          <a:endParaRPr lang="en-IN" sz="1400" b="1" i="0" u="none" strike="noStrike">
            <a:solidFill>
              <a:schemeClr val="bg2"/>
            </a:solidFill>
            <a:latin typeface="Calibri"/>
            <a:ea typeface="Calibri"/>
            <a:cs typeface="Calibri"/>
          </a:endParaRPr>
        </a:p>
      </xdr:txBody>
    </xdr:sp>
    <xdr:clientData/>
  </xdr:twoCellAnchor>
  <xdr:twoCellAnchor>
    <xdr:from>
      <xdr:col>0</xdr:col>
      <xdr:colOff>222607</xdr:colOff>
      <xdr:row>9</xdr:row>
      <xdr:rowOff>174660</xdr:rowOff>
    </xdr:from>
    <xdr:to>
      <xdr:col>2</xdr:col>
      <xdr:colOff>419528</xdr:colOff>
      <xdr:row>12</xdr:row>
      <xdr:rowOff>37671</xdr:rowOff>
    </xdr:to>
    <xdr:sp macro="" textlink="Sheet4!R11">
      <xdr:nvSpPr>
        <xdr:cNvPr id="7" name="TextBox 6">
          <a:extLst>
            <a:ext uri="{FF2B5EF4-FFF2-40B4-BE49-F238E27FC236}">
              <a16:creationId xmlns:a16="http://schemas.microsoft.com/office/drawing/2014/main" id="{4052630B-293B-43EA-AEA8-9EA2D7DD5F9D}"/>
            </a:ext>
          </a:extLst>
        </xdr:cNvPr>
        <xdr:cNvSpPr txBox="1"/>
      </xdr:nvSpPr>
      <xdr:spPr>
        <a:xfrm>
          <a:off x="222607" y="1792840"/>
          <a:ext cx="1412696" cy="402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87024E-3677-4319-814C-E280BE944F2D}" type="TxLink">
            <a:rPr lang="en-US" sz="1400" b="1" i="0" u="none" strike="noStrike">
              <a:solidFill>
                <a:schemeClr val="bg2"/>
              </a:solidFill>
              <a:latin typeface="Calibri"/>
              <a:ea typeface="Calibri"/>
              <a:cs typeface="Calibri"/>
            </a:rPr>
            <a:pPr marL="0" indent="0" algn="ctr"/>
            <a:t>💰Amount</a:t>
          </a:fld>
          <a:endParaRPr lang="en-IN" sz="1400" b="1" i="0" u="none" strike="noStrike">
            <a:solidFill>
              <a:schemeClr val="bg2"/>
            </a:solidFill>
            <a:latin typeface="Calibri"/>
            <a:ea typeface="Calibri"/>
            <a:cs typeface="Calibri"/>
          </a:endParaRPr>
        </a:p>
      </xdr:txBody>
    </xdr:sp>
    <xdr:clientData/>
  </xdr:twoCellAnchor>
  <xdr:twoCellAnchor>
    <xdr:from>
      <xdr:col>0</xdr:col>
      <xdr:colOff>214047</xdr:colOff>
      <xdr:row>13</xdr:row>
      <xdr:rowOff>121577</xdr:rowOff>
    </xdr:from>
    <xdr:to>
      <xdr:col>2</xdr:col>
      <xdr:colOff>333912</xdr:colOff>
      <xdr:row>15</xdr:row>
      <xdr:rowOff>164386</xdr:rowOff>
    </xdr:to>
    <xdr:sp macro="" textlink="Sheet4!S11">
      <xdr:nvSpPr>
        <xdr:cNvPr id="8" name="TextBox 7">
          <a:extLst>
            <a:ext uri="{FF2B5EF4-FFF2-40B4-BE49-F238E27FC236}">
              <a16:creationId xmlns:a16="http://schemas.microsoft.com/office/drawing/2014/main" id="{530176AD-DCFF-4A09-AA1B-23C171A57A1C}"/>
            </a:ext>
          </a:extLst>
        </xdr:cNvPr>
        <xdr:cNvSpPr txBox="1"/>
      </xdr:nvSpPr>
      <xdr:spPr>
        <a:xfrm>
          <a:off x="214047" y="2458948"/>
          <a:ext cx="1335640" cy="402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2C65C37-7530-40E2-9616-5D223B4E2E13}" type="TxLink">
            <a:rPr lang="en-US" sz="1400" b="1" i="0" u="none" strike="noStrike">
              <a:solidFill>
                <a:schemeClr val="bg2"/>
              </a:solidFill>
              <a:latin typeface="Calibri"/>
              <a:ea typeface="Calibri"/>
              <a:cs typeface="Calibri"/>
            </a:rPr>
            <a:pPr marL="0" indent="0" algn="ctr"/>
            <a:t>⭐Rating</a:t>
          </a:fld>
          <a:endParaRPr lang="en-IN" sz="1400" b="1" i="0" u="none" strike="noStrike">
            <a:solidFill>
              <a:schemeClr val="bg2"/>
            </a:solidFill>
            <a:latin typeface="Calibri"/>
            <a:ea typeface="Calibri"/>
            <a:cs typeface="Calibri"/>
          </a:endParaRPr>
        </a:p>
      </xdr:txBody>
    </xdr:sp>
    <xdr:clientData/>
  </xdr:twoCellAnchor>
  <xdr:twoCellAnchor>
    <xdr:from>
      <xdr:col>3</xdr:col>
      <xdr:colOff>77055</xdr:colOff>
      <xdr:row>0</xdr:row>
      <xdr:rowOff>68495</xdr:rowOff>
    </xdr:from>
    <xdr:to>
      <xdr:col>19</xdr:col>
      <xdr:colOff>94178</xdr:colOff>
      <xdr:row>4</xdr:row>
      <xdr:rowOff>51371</xdr:rowOff>
    </xdr:to>
    <xdr:sp macro="" textlink="Sheet4!U1">
      <xdr:nvSpPr>
        <xdr:cNvPr id="24" name="TextBox 23">
          <a:extLst>
            <a:ext uri="{FF2B5EF4-FFF2-40B4-BE49-F238E27FC236}">
              <a16:creationId xmlns:a16="http://schemas.microsoft.com/office/drawing/2014/main" id="{B965C6B1-C11B-710E-52F9-EEE6F06DAB1C}"/>
            </a:ext>
          </a:extLst>
        </xdr:cNvPr>
        <xdr:cNvSpPr txBox="1"/>
      </xdr:nvSpPr>
      <xdr:spPr>
        <a:xfrm>
          <a:off x="1900718" y="68495"/>
          <a:ext cx="9743325" cy="70206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fld id="{5A4ACE6B-BE1A-4135-A354-8BDF2469DF08}" type="TxLink">
            <a:rPr lang="en-US" sz="2800" b="1" i="0" u="none" strike="noStrike">
              <a:solidFill>
                <a:srgbClr val="000000"/>
              </a:solidFill>
              <a:latin typeface="Calibri"/>
              <a:ea typeface="Calibri"/>
              <a:cs typeface="Calibri"/>
            </a:rPr>
            <a:pPr algn="ctr"/>
            <a:t>🛍️ Apparel Sales &amp; Customer Insights Dashboard</a:t>
          </a:fld>
          <a:endParaRPr lang="en-IN" sz="2000"/>
        </a:p>
      </xdr:txBody>
    </xdr:sp>
    <xdr:clientData/>
  </xdr:twoCellAnchor>
  <mc:AlternateContent xmlns:mc="http://schemas.openxmlformats.org/markup-compatibility/2006">
    <mc:Choice xmlns:a14="http://schemas.microsoft.com/office/drawing/2010/main" Requires="a14">
      <xdr:twoCellAnchor editAs="oneCell">
        <xdr:from>
          <xdr:col>8</xdr:col>
          <xdr:colOff>177799</xdr:colOff>
          <xdr:row>4</xdr:row>
          <xdr:rowOff>177800</xdr:rowOff>
        </xdr:from>
        <xdr:to>
          <xdr:col>14</xdr:col>
          <xdr:colOff>267546</xdr:colOff>
          <xdr:row>18</xdr:row>
          <xdr:rowOff>0</xdr:rowOff>
        </xdr:to>
        <xdr:pic>
          <xdr:nvPicPr>
            <xdr:cNvPr id="43" name="Picture 42">
              <a:extLst>
                <a:ext uri="{FF2B5EF4-FFF2-40B4-BE49-F238E27FC236}">
                  <a16:creationId xmlns:a16="http://schemas.microsoft.com/office/drawing/2014/main" id="{3DFAC421-1A16-7464-B542-5F21413CD997}"/>
                </a:ext>
              </a:extLst>
            </xdr:cNvPr>
            <xdr:cNvPicPr>
              <a:picLocks noChangeAspect="1" noChangeArrowheads="1"/>
              <a:extLst>
                <a:ext uri="{84589F7E-364E-4C9E-8A38-B11213B215E9}">
                  <a14:cameraTool cellRange="Sheet4!$D$34:$H$39" spid="_x0000_s1052"/>
                </a:ext>
              </a:extLst>
            </xdr:cNvPicPr>
          </xdr:nvPicPr>
          <xdr:blipFill>
            <a:blip xmlns:r="http://schemas.openxmlformats.org/officeDocument/2006/relationships" r:embed="rId5"/>
            <a:srcRect/>
            <a:stretch>
              <a:fillRect/>
            </a:stretch>
          </xdr:blipFill>
          <xdr:spPr bwMode="auto">
            <a:xfrm>
              <a:off x="5054599" y="922867"/>
              <a:ext cx="3747347" cy="24384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Saini" refreshedDate="46307.567550694446" createdVersion="8" refreshedVersion="8" minRefreshableVersion="3" recordCount="29" xr:uid="{74A76D42-EA45-43C4-B7A8-797FBA3CC807}">
  <cacheSource type="worksheet">
    <worksheetSource ref="A1:O30" sheet="Sheet2"/>
  </cacheSource>
  <cacheFields count="15">
    <cacheField name="TX ID" numFmtId="0">
      <sharedItems/>
    </cacheField>
    <cacheField name="Product" numFmtId="0">
      <sharedItems count="14">
        <s v="Shorts"/>
        <s v="Tank Tops"/>
        <s v="Sneakers"/>
        <s v="Workout Tops"/>
        <s v="Graphic Tees"/>
        <s v="Sandals"/>
        <s v="Jeans"/>
        <s v="Hoodies &amp; Sweatshirts"/>
        <s v="T-Shirts"/>
        <s v="Sundresses"/>
        <s v="Bikinis"/>
        <s v="Maxi Dresses"/>
        <s v="Casual Dresses"/>
        <s v="Tote Bags"/>
      </sharedItems>
    </cacheField>
    <cacheField name="Quantity" numFmtId="0">
      <sharedItems containsSemiMixedTypes="0" containsString="0" containsNumber="1" containsInteger="1" minValue="1" maxValue="27" count="13">
        <n v="1"/>
        <n v="2"/>
        <n v="3"/>
        <n v="7"/>
        <n v="12"/>
        <n v="11"/>
        <n v="27"/>
        <n v="10"/>
        <n v="8"/>
        <n v="5"/>
        <n v="19"/>
        <n v="9"/>
        <n v="4"/>
      </sharedItems>
    </cacheField>
    <cacheField name="Unit Price" numFmtId="0">
      <sharedItems containsSemiMixedTypes="0" containsString="0" containsNumber="1" minValue="10.9" maxValue="118.6"/>
    </cacheField>
    <cacheField name="Amount" numFmtId="0">
      <sharedItems containsSemiMixedTypes="0" containsString="0" containsNumber="1" minValue="10.9" maxValue="2386.8000000000002"/>
    </cacheField>
    <cacheField name="Order Date" numFmtId="15">
      <sharedItems containsSemiMixedTypes="0" containsNonDate="0" containsDate="1" containsString="0" minDate="2025-01-01T00:00:00" maxDate="2025-01-02T00:00:00"/>
    </cacheField>
    <cacheField name="Ship Date" numFmtId="15">
      <sharedItems containsSemiMixedTypes="0" containsNonDate="0" containsDate="1" containsString="0" minDate="2025-01-02T00:00:00" maxDate="2025-01-09T00:00:00"/>
    </cacheField>
    <cacheField name="Customer Gender" numFmtId="0">
      <sharedItems/>
    </cacheField>
    <cacheField name="Order Mode" numFmtId="0">
      <sharedItems count="5">
        <s v="App"/>
        <s v="Website"/>
        <s v="Target.com"/>
        <s v="Instagram"/>
        <s v="Partner App"/>
      </sharedItems>
    </cacheField>
    <cacheField name="Rating" numFmtId="0">
      <sharedItems containsSemiMixedTypes="0" containsString="0" containsNumber="1" containsInteger="1" minValue="3" maxValue="5"/>
    </cacheField>
    <cacheField name="State" numFmtId="0">
      <sharedItems/>
    </cacheField>
    <cacheField name="County" numFmtId="0">
      <sharedItems/>
    </cacheField>
    <cacheField name="Days to Deliver" numFmtId="0">
      <sharedItems containsSemiMixedTypes="0" containsString="0" containsNumber="1" containsInteger="1" minValue="1" maxValue="7" count="7">
        <n v="5"/>
        <n v="2"/>
        <n v="3"/>
        <n v="1"/>
        <n v="6"/>
        <n v="4"/>
        <n v="7"/>
      </sharedItems>
    </cacheField>
    <cacheField name="Weeknum" numFmtId="0">
      <sharedItems containsSemiMixedTypes="0" containsString="0" containsNumber="1" containsInteger="1" minValue="1" maxValue="1"/>
    </cacheField>
    <cacheField name="Gender Value" numFmtId="0">
      <sharedItems count="3">
        <s v="Unknown"/>
        <s v="Male"/>
        <s v="Female"/>
      </sharedItems>
    </cacheField>
  </cacheFields>
  <extLst>
    <ext xmlns:x14="http://schemas.microsoft.com/office/spreadsheetml/2009/9/main" uri="{725AE2AE-9491-48be-B2B4-4EB974FC3084}">
      <x14:pivotCacheDefinition pivotCacheId="54872886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TX500001"/>
    <x v="0"/>
    <x v="0"/>
    <n v="10.9"/>
    <n v="10.9"/>
    <d v="2025-01-01T00:00:00"/>
    <d v="2025-01-06T00:00:00"/>
    <s v="M"/>
    <x v="0"/>
    <n v="4"/>
    <s v="California"/>
    <s v="Alpine County"/>
    <x v="0"/>
    <n v="1"/>
    <x v="0"/>
  </r>
  <r>
    <s v="TX500002"/>
    <x v="1"/>
    <x v="1"/>
    <n v="30.6"/>
    <n v="61.2"/>
    <d v="2025-01-01T00:00:00"/>
    <d v="2025-01-03T00:00:00"/>
    <s v="M"/>
    <x v="0"/>
    <n v="4"/>
    <s v="California"/>
    <s v="Contra Costa County"/>
    <x v="1"/>
    <n v="1"/>
    <x v="1"/>
  </r>
  <r>
    <s v="TX500003"/>
    <x v="2"/>
    <x v="2"/>
    <n v="109.4"/>
    <n v="328.2"/>
    <d v="2025-01-01T00:00:00"/>
    <d v="2025-01-04T00:00:00"/>
    <s v="F"/>
    <x v="0"/>
    <n v="3"/>
    <s v="California"/>
    <s v="Fresno County"/>
    <x v="2"/>
    <n v="1"/>
    <x v="2"/>
  </r>
  <r>
    <s v="TX500004"/>
    <x v="3"/>
    <x v="3"/>
    <n v="37.700000000000003"/>
    <n v="263.89999999999998"/>
    <d v="2025-01-01T00:00:00"/>
    <d v="2025-01-02T00:00:00"/>
    <s v="F"/>
    <x v="0"/>
    <n v="4"/>
    <s v="California"/>
    <s v="Fresno County"/>
    <x v="3"/>
    <n v="1"/>
    <x v="2"/>
  </r>
  <r>
    <s v="TX500005"/>
    <x v="4"/>
    <x v="2"/>
    <n v="56.7"/>
    <n v="170.1"/>
    <d v="2025-01-01T00:00:00"/>
    <d v="2025-01-04T00:00:00"/>
    <s v="F"/>
    <x v="0"/>
    <n v="4"/>
    <s v="California"/>
    <s v="Los Angeles County"/>
    <x v="2"/>
    <n v="1"/>
    <x v="2"/>
  </r>
  <r>
    <s v="TX500006"/>
    <x v="1"/>
    <x v="4"/>
    <n v="83.5"/>
    <n v="1002"/>
    <d v="2025-01-01T00:00:00"/>
    <d v="2025-01-04T00:00:00"/>
    <s v="M"/>
    <x v="0"/>
    <n v="5"/>
    <s v="California"/>
    <s v="Los Angeles County"/>
    <x v="2"/>
    <n v="1"/>
    <x v="2"/>
  </r>
  <r>
    <s v="TX500007"/>
    <x v="5"/>
    <x v="0"/>
    <n v="55.3"/>
    <n v="55.3"/>
    <d v="2025-01-01T00:00:00"/>
    <d v="2025-01-04T00:00:00"/>
    <s v="M"/>
    <x v="1"/>
    <n v="4"/>
    <s v="California"/>
    <s v="Los Angeles County"/>
    <x v="2"/>
    <n v="1"/>
    <x v="1"/>
  </r>
  <r>
    <s v="TX500008"/>
    <x v="6"/>
    <x v="1"/>
    <n v="40.299999999999997"/>
    <n v="80.599999999999994"/>
    <d v="2025-01-01T00:00:00"/>
    <d v="2025-01-02T00:00:00"/>
    <s v="M"/>
    <x v="0"/>
    <n v="4"/>
    <s v="California"/>
    <s v="Los Angeles County"/>
    <x v="3"/>
    <n v="1"/>
    <x v="1"/>
  </r>
  <r>
    <s v="TX500009"/>
    <x v="7"/>
    <x v="5"/>
    <n v="35.700000000000003"/>
    <n v="392.7"/>
    <d v="2025-01-01T00:00:00"/>
    <d v="2025-01-02T00:00:00"/>
    <s v="F"/>
    <x v="2"/>
    <n v="5"/>
    <s v="California"/>
    <s v="Los Angeles County"/>
    <x v="3"/>
    <n v="1"/>
    <x v="2"/>
  </r>
  <r>
    <s v="TX500010"/>
    <x v="8"/>
    <x v="3"/>
    <n v="22.4"/>
    <n v="156.80000000000001"/>
    <d v="2025-01-01T00:00:00"/>
    <d v="2025-01-04T00:00:00"/>
    <s v="M"/>
    <x v="0"/>
    <n v="4"/>
    <s v="California"/>
    <s v="Los Angeles County"/>
    <x v="2"/>
    <n v="1"/>
    <x v="2"/>
  </r>
  <r>
    <s v="TX500011"/>
    <x v="9"/>
    <x v="1"/>
    <n v="54.4"/>
    <n v="108.8"/>
    <d v="2025-01-01T00:00:00"/>
    <d v="2025-01-07T00:00:00"/>
    <s v="M"/>
    <x v="0"/>
    <n v="3"/>
    <s v="California"/>
    <s v="Los Angeles County"/>
    <x v="4"/>
    <n v="1"/>
    <x v="1"/>
  </r>
  <r>
    <s v="TX500012"/>
    <x v="9"/>
    <x v="1"/>
    <n v="49"/>
    <n v="98"/>
    <d v="2025-01-01T00:00:00"/>
    <d v="2025-01-03T00:00:00"/>
    <s v="F"/>
    <x v="2"/>
    <n v="4"/>
    <s v="California"/>
    <s v="Los Angeles County"/>
    <x v="1"/>
    <n v="1"/>
    <x v="1"/>
  </r>
  <r>
    <s v="TX500013"/>
    <x v="5"/>
    <x v="3"/>
    <n v="118.6"/>
    <n v="830.2"/>
    <d v="2025-01-01T00:00:00"/>
    <d v="2025-01-05T00:00:00"/>
    <s v="M"/>
    <x v="1"/>
    <n v="4"/>
    <s v="California"/>
    <s v="Los Angeles County"/>
    <x v="5"/>
    <n v="1"/>
    <x v="2"/>
  </r>
  <r>
    <s v="TX500014"/>
    <x v="6"/>
    <x v="6"/>
    <n v="88.4"/>
    <n v="2386.8000000000002"/>
    <d v="2025-01-01T00:00:00"/>
    <d v="2025-01-08T00:00:00"/>
    <s v="M"/>
    <x v="3"/>
    <n v="4"/>
    <s v="California"/>
    <s v="Nevada County"/>
    <x v="6"/>
    <n v="1"/>
    <x v="1"/>
  </r>
  <r>
    <s v="TX500015"/>
    <x v="10"/>
    <x v="0"/>
    <n v="66.7"/>
    <n v="66.7"/>
    <d v="2025-01-01T00:00:00"/>
    <d v="2025-01-04T00:00:00"/>
    <s v="M"/>
    <x v="0"/>
    <n v="4"/>
    <s v="California"/>
    <s v="Placer County"/>
    <x v="2"/>
    <n v="1"/>
    <x v="1"/>
  </r>
  <r>
    <s v="TX500016"/>
    <x v="9"/>
    <x v="7"/>
    <n v="30.9"/>
    <n v="309"/>
    <d v="2025-01-01T00:00:00"/>
    <d v="2025-01-02T00:00:00"/>
    <s v="F"/>
    <x v="1"/>
    <n v="5"/>
    <s v="California"/>
    <s v="Sacramento County"/>
    <x v="3"/>
    <n v="1"/>
    <x v="1"/>
  </r>
  <r>
    <s v="TX500017"/>
    <x v="4"/>
    <x v="2"/>
    <n v="31.1"/>
    <n v="93.3"/>
    <d v="2025-01-01T00:00:00"/>
    <d v="2025-01-02T00:00:00"/>
    <s v="F"/>
    <x v="4"/>
    <n v="3"/>
    <s v="California"/>
    <s v="Sacramento County"/>
    <x v="3"/>
    <n v="1"/>
    <x v="0"/>
  </r>
  <r>
    <s v="TX500018"/>
    <x v="7"/>
    <x v="2"/>
    <n v="36.6"/>
    <n v="109.8"/>
    <d v="2025-01-01T00:00:00"/>
    <d v="2025-01-04T00:00:00"/>
    <s v="F"/>
    <x v="0"/>
    <n v="4"/>
    <s v="California"/>
    <s v="San Bernardino County"/>
    <x v="2"/>
    <n v="1"/>
    <x v="2"/>
  </r>
  <r>
    <s v="TX500019"/>
    <x v="6"/>
    <x v="8"/>
    <n v="51.1"/>
    <n v="408.8"/>
    <d v="2025-01-01T00:00:00"/>
    <d v="2025-01-04T00:00:00"/>
    <s v="F"/>
    <x v="2"/>
    <n v="4"/>
    <s v="California"/>
    <s v="San Bernardino County"/>
    <x v="2"/>
    <n v="1"/>
    <x v="2"/>
  </r>
  <r>
    <s v="TX500020"/>
    <x v="9"/>
    <x v="0"/>
    <n v="25.2"/>
    <n v="25.2"/>
    <d v="2025-01-01T00:00:00"/>
    <d v="2025-01-02T00:00:00"/>
    <s v="F"/>
    <x v="1"/>
    <n v="5"/>
    <s v="California"/>
    <s v="San Diego County"/>
    <x v="3"/>
    <n v="1"/>
    <x v="2"/>
  </r>
  <r>
    <s v="TX500021"/>
    <x v="9"/>
    <x v="9"/>
    <n v="43.8"/>
    <n v="219"/>
    <d v="2025-01-01T00:00:00"/>
    <d v="2025-01-04T00:00:00"/>
    <s v="F"/>
    <x v="2"/>
    <n v="4"/>
    <s v="California"/>
    <s v="San Diego County"/>
    <x v="2"/>
    <n v="1"/>
    <x v="0"/>
  </r>
  <r>
    <s v="TX500022"/>
    <x v="8"/>
    <x v="4"/>
    <n v="46.7"/>
    <n v="560.4"/>
    <d v="2025-01-01T00:00:00"/>
    <d v="2025-01-02T00:00:00"/>
    <s v="F"/>
    <x v="1"/>
    <n v="3"/>
    <s v="California"/>
    <s v="San Diego County"/>
    <x v="3"/>
    <n v="1"/>
    <x v="2"/>
  </r>
  <r>
    <s v="TX500023"/>
    <x v="3"/>
    <x v="10"/>
    <n v="79.900000000000006"/>
    <n v="1518.1"/>
    <d v="2025-01-01T00:00:00"/>
    <d v="2025-01-02T00:00:00"/>
    <s v="M"/>
    <x v="0"/>
    <n v="5"/>
    <s v="California"/>
    <s v="San Diego County"/>
    <x v="3"/>
    <n v="1"/>
    <x v="1"/>
  </r>
  <r>
    <s v="TX500024"/>
    <x v="11"/>
    <x v="8"/>
    <n v="26.4"/>
    <n v="211.2"/>
    <d v="2025-01-01T00:00:00"/>
    <d v="2025-01-02T00:00:00"/>
    <s v="F"/>
    <x v="3"/>
    <n v="4"/>
    <s v="California"/>
    <s v="San Diego County"/>
    <x v="3"/>
    <n v="1"/>
    <x v="2"/>
  </r>
  <r>
    <s v="TX500025"/>
    <x v="12"/>
    <x v="8"/>
    <n v="88.8"/>
    <n v="710.4"/>
    <d v="2025-01-01T00:00:00"/>
    <d v="2025-01-02T00:00:00"/>
    <s v="F"/>
    <x v="4"/>
    <n v="4"/>
    <s v="California"/>
    <s v="San Diego County"/>
    <x v="3"/>
    <n v="1"/>
    <x v="2"/>
  </r>
  <r>
    <s v="TX500026"/>
    <x v="0"/>
    <x v="7"/>
    <n v="17.5"/>
    <n v="175"/>
    <d v="2025-01-01T00:00:00"/>
    <d v="2025-01-02T00:00:00"/>
    <s v="F"/>
    <x v="2"/>
    <n v="4"/>
    <s v="California"/>
    <s v="San Mateo County"/>
    <x v="3"/>
    <n v="1"/>
    <x v="2"/>
  </r>
  <r>
    <s v="TX500027"/>
    <x v="1"/>
    <x v="11"/>
    <n v="38.700000000000003"/>
    <n v="348.3"/>
    <d v="2025-01-01T00:00:00"/>
    <d v="2025-01-04T00:00:00"/>
    <s v="M"/>
    <x v="1"/>
    <n v="4"/>
    <s v="California"/>
    <s v="Santa Barbara County"/>
    <x v="2"/>
    <n v="1"/>
    <x v="1"/>
  </r>
  <r>
    <s v="TX500028"/>
    <x v="13"/>
    <x v="12"/>
    <n v="57.2"/>
    <n v="228.8"/>
    <d v="2025-01-01T00:00:00"/>
    <d v="2025-01-03T00:00:00"/>
    <s v="M"/>
    <x v="1"/>
    <n v="5"/>
    <s v="California"/>
    <s v="Santa Clara County"/>
    <x v="1"/>
    <n v="1"/>
    <x v="0"/>
  </r>
  <r>
    <s v="TX500029"/>
    <x v="6"/>
    <x v="9"/>
    <n v="50.9"/>
    <n v="254.5"/>
    <d v="2025-01-01T00:00:00"/>
    <d v="2025-01-07T00:00:00"/>
    <s v="F"/>
    <x v="1"/>
    <n v="5"/>
    <s v="California"/>
    <s v="Tehama County"/>
    <x v="4"/>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B5FE69-1991-4AA8-BA0B-0BAEA9A1B71A}" name="PivotTable3"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C15" firstHeaderRow="0" firstDataRow="1" firstDataCol="1"/>
  <pivotFields count="15">
    <pivotField showAll="0"/>
    <pivotField showAll="0"/>
    <pivotField dataField="1" showAll="0"/>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8">
        <item x="3"/>
        <item x="1"/>
        <item x="2"/>
        <item x="5"/>
        <item x="0"/>
        <item x="4"/>
        <item x="6"/>
        <item t="default"/>
      </items>
    </pivotField>
    <pivotField showAll="0"/>
    <pivotField showAll="0">
      <items count="4">
        <item x="2"/>
        <item x="1"/>
        <item x="0"/>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913FF-2278-4FBD-8153-50DE9D4037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7:B31" firstHeaderRow="1" firstDataRow="1" firstDataCol="1"/>
  <pivotFields count="15">
    <pivotField dataField="1" showAll="0"/>
    <pivotField showAll="0"/>
    <pivotField axis="axisRow" showAll="0">
      <items count="14">
        <item x="0"/>
        <item x="1"/>
        <item x="2"/>
        <item x="12"/>
        <item x="9"/>
        <item x="3"/>
        <item x="8"/>
        <item x="11"/>
        <item x="7"/>
        <item x="5"/>
        <item x="4"/>
        <item x="10"/>
        <item x="6"/>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4">
        <item x="2"/>
        <item x="1"/>
        <item x="0"/>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Count of TX ID" fld="0" subtotal="count"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8344F-109C-400C-9648-A3BF0EE1BC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H7:L23" firstHeaderRow="1" firstDataRow="2" firstDataCol="1"/>
  <pivotFields count="15">
    <pivotField showAll="0"/>
    <pivotField axis="axisRow" showAll="0">
      <items count="15">
        <item x="10"/>
        <item x="12"/>
        <item x="4"/>
        <item x="7"/>
        <item x="6"/>
        <item x="11"/>
        <item x="5"/>
        <item x="0"/>
        <item x="2"/>
        <item x="9"/>
        <item x="1"/>
        <item x="13"/>
        <item x="8"/>
        <item x="3"/>
        <item t="default"/>
      </items>
    </pivotField>
    <pivotField dataField="1" showAll="0"/>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4">
        <item x="2"/>
        <item x="1"/>
        <item x="0"/>
        <item t="default"/>
      </items>
    </pivotField>
  </pivotFields>
  <rowFields count="1">
    <field x="1"/>
  </rowFields>
  <rowItems count="15">
    <i>
      <x/>
    </i>
    <i>
      <x v="1"/>
    </i>
    <i>
      <x v="2"/>
    </i>
    <i>
      <x v="3"/>
    </i>
    <i>
      <x v="4"/>
    </i>
    <i>
      <x v="5"/>
    </i>
    <i>
      <x v="6"/>
    </i>
    <i>
      <x v="7"/>
    </i>
    <i>
      <x v="8"/>
    </i>
    <i>
      <x v="9"/>
    </i>
    <i>
      <x v="10"/>
    </i>
    <i>
      <x v="11"/>
    </i>
    <i>
      <x v="12"/>
    </i>
    <i>
      <x v="13"/>
    </i>
    <i t="grand">
      <x/>
    </i>
  </rowItems>
  <colFields count="1">
    <field x="14"/>
  </colFields>
  <colItems count="4">
    <i>
      <x/>
    </i>
    <i>
      <x v="1"/>
    </i>
    <i>
      <x v="2"/>
    </i>
    <i t="grand">
      <x/>
    </i>
  </colItems>
  <dataFields count="1">
    <dataField name="Sum of Quantity" fld="2" baseField="0" baseItem="0"/>
  </dataFields>
  <chartFormats count="4">
    <chartFormat chart="64" format="6" series="1">
      <pivotArea type="data" outline="0" fieldPosition="0">
        <references count="2">
          <reference field="4294967294" count="1" selected="0">
            <x v="0"/>
          </reference>
          <reference field="14" count="1" selected="0">
            <x v="0"/>
          </reference>
        </references>
      </pivotArea>
    </chartFormat>
    <chartFormat chart="64" format="7" series="1">
      <pivotArea type="data" outline="0" fieldPosition="0">
        <references count="2">
          <reference field="4294967294" count="1" selected="0">
            <x v="0"/>
          </reference>
          <reference field="14" count="1" selected="0">
            <x v="1"/>
          </reference>
        </references>
      </pivotArea>
    </chartFormat>
    <chartFormat chart="64" format="8" series="1">
      <pivotArea type="data" outline="0" fieldPosition="0">
        <references count="2">
          <reference field="4294967294" count="1" selected="0">
            <x v="0"/>
          </reference>
          <reference field="14" count="1" selected="0">
            <x v="2"/>
          </reference>
        </references>
      </pivotArea>
    </chartFormat>
    <chartFormat chart="6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4792FC-D87B-4B17-A121-324FBEEFFC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pivotField showAll="0"/>
    <pivotField dataField="1" showAll="0"/>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4">
        <item x="2"/>
        <item x="1"/>
        <item x="0"/>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Average of Days to Deliver" fld="12" subtotal="average" baseField="0" baseItem="0" numFmtId="164"/>
    <dataField name="Sum of Amount" fld="4" baseField="0" baseItem="0"/>
    <dataField name="Average of Rating" fld="9" subtotal="average" baseField="0" baseItem="0" numFmtId="164"/>
  </dataFields>
  <formats count="2">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5E3C64-4145-4EEE-8051-B1CCF0BFC3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E7:F11" firstHeaderRow="1" firstDataRow="1" firstDataCol="1"/>
  <pivotFields count="15">
    <pivotField showAll="0"/>
    <pivotField showAll="0"/>
    <pivotField dataField="1" showAll="0"/>
    <pivotField showAll="0"/>
    <pivotField showAll="0"/>
    <pivotField numFmtId="15" showAll="0"/>
    <pivotField numFmtId="15"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14"/>
  </rowFields>
  <rowItems count="4">
    <i>
      <x/>
    </i>
    <i>
      <x v="1"/>
    </i>
    <i>
      <x v="2"/>
    </i>
    <i t="grand">
      <x/>
    </i>
  </rowItems>
  <colItems count="1">
    <i/>
  </colItems>
  <dataFields count="1">
    <dataField name="Sum of Quantity" fld="2" baseField="0" baseItem="0"/>
  </dataFields>
  <chartFormats count="4">
    <chartFormat chart="54" format="5" series="1">
      <pivotArea type="data" outline="0" fieldPosition="0">
        <references count="1">
          <reference field="4294967294" count="1" selected="0">
            <x v="0"/>
          </reference>
        </references>
      </pivotArea>
    </chartFormat>
    <chartFormat chart="54" format="6">
      <pivotArea type="data" outline="0" fieldPosition="0">
        <references count="2">
          <reference field="4294967294" count="1" selected="0">
            <x v="0"/>
          </reference>
          <reference field="14" count="1" selected="0">
            <x v="0"/>
          </reference>
        </references>
      </pivotArea>
    </chartFormat>
    <chartFormat chart="54" format="7">
      <pivotArea type="data" outline="0" fieldPosition="0">
        <references count="2">
          <reference field="4294967294" count="1" selected="0">
            <x v="0"/>
          </reference>
          <reference field="14" count="1" selected="0">
            <x v="1"/>
          </reference>
        </references>
      </pivotArea>
    </chartFormat>
    <chartFormat chart="5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F7106B-1061-40C9-A1FD-75B9B9D4C3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P3:Q7" firstHeaderRow="1" firstDataRow="1" firstDataCol="1"/>
  <pivotFields count="15">
    <pivotField showAll="0"/>
    <pivotField showAll="0"/>
    <pivotField dataField="1" showAll="0"/>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4">
        <item x="2"/>
        <item x="1"/>
        <item x="0"/>
        <item t="default"/>
      </items>
    </pivotField>
  </pivotFields>
  <rowFields count="1">
    <field x="14"/>
  </rowFields>
  <rowItems count="4">
    <i>
      <x/>
    </i>
    <i>
      <x v="1"/>
    </i>
    <i>
      <x v="2"/>
    </i>
    <i t="grand">
      <x/>
    </i>
  </rowItems>
  <colItems count="1">
    <i/>
  </colItems>
  <dataFields count="1">
    <dataField name="Sum of Quantity" fld="2" baseField="0" baseItem="0"/>
  </dataFields>
  <chartFormats count="4">
    <chartFormat chart="54" format="5" series="1">
      <pivotArea type="data" outline="0" fieldPosition="0">
        <references count="1">
          <reference field="4294967294" count="1" selected="0">
            <x v="0"/>
          </reference>
        </references>
      </pivotArea>
    </chartFormat>
    <chartFormat chart="54" format="6">
      <pivotArea type="data" outline="0" fieldPosition="0">
        <references count="2">
          <reference field="4294967294" count="1" selected="0">
            <x v="0"/>
          </reference>
          <reference field="14" count="1" selected="0">
            <x v="0"/>
          </reference>
        </references>
      </pivotArea>
    </chartFormat>
    <chartFormat chart="54" format="7">
      <pivotArea type="data" outline="0" fieldPosition="0">
        <references count="2">
          <reference field="4294967294" count="1" selected="0">
            <x v="0"/>
          </reference>
          <reference field="14" count="1" selected="0">
            <x v="1"/>
          </reference>
        </references>
      </pivotArea>
    </chartFormat>
    <chartFormat chart="5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3FEE39-958A-481F-86E5-F9BC6F3C26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D26:H33" firstHeaderRow="1" firstDataRow="2" firstDataCol="1"/>
  <pivotFields count="15">
    <pivotField showAll="0"/>
    <pivotField showAll="0"/>
    <pivotField showAll="0"/>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4">
        <item x="2"/>
        <item x="1"/>
        <item x="0"/>
        <item t="default"/>
      </items>
    </pivotField>
  </pivotFields>
  <rowFields count="1">
    <field x="8"/>
  </rowFields>
  <rowItems count="6">
    <i>
      <x/>
    </i>
    <i>
      <x v="1"/>
    </i>
    <i>
      <x v="2"/>
    </i>
    <i>
      <x v="3"/>
    </i>
    <i>
      <x v="4"/>
    </i>
    <i t="grand">
      <x/>
    </i>
  </rowItems>
  <colFields count="1">
    <field x="14"/>
  </colFields>
  <colItems count="4">
    <i>
      <x/>
    </i>
    <i>
      <x v="1"/>
    </i>
    <i>
      <x v="2"/>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7BCEC72-674D-4C1C-8E43-0A6C793F2394}" sourceName="Gender Value">
  <pivotTables>
    <pivotTable tabId="4" name="PivotTable8"/>
    <pivotTable tabId="4" name="PivotTable2"/>
    <pivotTable tabId="4" name="PivotTable3"/>
    <pivotTable tabId="4" name="PivotTable4"/>
    <pivotTable tabId="4" name="PivotTable6"/>
    <pivotTable tabId="4" name="PivotTable7"/>
  </pivotTables>
  <data>
    <tabular pivotCacheId="5487288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915817E-066A-4754-97F4-1B0C94853590}" sourceName="Order Mode">
  <pivotTables>
    <pivotTable tabId="4" name="PivotTable8"/>
    <pivotTable tabId="4" name="PivotTable2"/>
    <pivotTable tabId="4" name="PivotTable3"/>
    <pivotTable tabId="4" name="PivotTable4"/>
    <pivotTable tabId="4" name="PivotTable6"/>
    <pivotTable tabId="4" name="PivotTable7"/>
  </pivotTables>
  <data>
    <tabular pivotCacheId="548728868">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0DE17DB2-5C3F-4808-ADA5-1AAA96285C87}" cache="Slicer_Gender_Value" caption="Gender Value" style="SlicerStyleDark3" rowHeight="234950"/>
  <slicer name="Order Mode" xr10:uid="{C8B73637-0B99-47D9-B2AD-343A23F75054}" cache="Slicer_Order_Mode" caption="Order Mode"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D290-D760-4103-9AC4-0E51EF6B9AA0}">
  <dimension ref="A1:U39"/>
  <sheetViews>
    <sheetView topLeftCell="A15" workbookViewId="0">
      <selection activeCell="M34" sqref="M34"/>
    </sheetView>
  </sheetViews>
  <sheetFormatPr defaultRowHeight="14.4" x14ac:dyDescent="0.3"/>
  <cols>
    <col min="1" max="1" width="12.5546875" bestFit="1" customWidth="1"/>
    <col min="2" max="2" width="13.21875" bestFit="1" customWidth="1"/>
    <col min="3" max="4" width="14.44140625" bestFit="1" customWidth="1"/>
    <col min="5" max="5" width="15.5546875" bestFit="1" customWidth="1"/>
    <col min="6" max="6" width="7" bestFit="1" customWidth="1"/>
    <col min="7" max="7" width="9.21875" bestFit="1" customWidth="1"/>
    <col min="8" max="8" width="10.77734375" bestFit="1" customWidth="1"/>
    <col min="9" max="9" width="15.5546875" customWidth="1"/>
    <col min="10" max="10" width="5.21875" bestFit="1" customWidth="1"/>
    <col min="11" max="11" width="9.21875" bestFit="1" customWidth="1"/>
    <col min="12" max="12" width="10.77734375" bestFit="1" customWidth="1"/>
    <col min="13" max="14" width="10.44140625" customWidth="1"/>
    <col min="15" max="15" width="14.33203125" customWidth="1"/>
    <col min="16" max="16" width="12.5546875" bestFit="1" customWidth="1"/>
    <col min="17" max="17" width="14.88671875" bestFit="1" customWidth="1"/>
    <col min="18" max="18" width="13.21875" customWidth="1"/>
    <col min="19" max="19" width="14.77734375" customWidth="1"/>
    <col min="20" max="20" width="9.109375" bestFit="1" customWidth="1"/>
    <col min="21" max="21" width="56.6640625" style="16" customWidth="1"/>
    <col min="22" max="30" width="9.109375" bestFit="1" customWidth="1"/>
    <col min="31" max="31" width="10.77734375" bestFit="1" customWidth="1"/>
  </cols>
  <sheetData>
    <row r="1" spans="1:21" ht="18" x14ac:dyDescent="0.35">
      <c r="U1" s="13" t="s">
        <v>95</v>
      </c>
    </row>
    <row r="3" spans="1:21" x14ac:dyDescent="0.3">
      <c r="A3" t="s">
        <v>84</v>
      </c>
      <c r="B3" t="s">
        <v>85</v>
      </c>
      <c r="C3" t="s">
        <v>88</v>
      </c>
      <c r="D3" t="s">
        <v>86</v>
      </c>
      <c r="E3" t="s">
        <v>87</v>
      </c>
      <c r="P3" s="8" t="s">
        <v>82</v>
      </c>
      <c r="Q3" t="s">
        <v>85</v>
      </c>
    </row>
    <row r="4" spans="1:21" x14ac:dyDescent="0.3">
      <c r="A4">
        <v>29</v>
      </c>
      <c r="B4">
        <v>193</v>
      </c>
      <c r="C4" s="10">
        <v>2.5862068965517242</v>
      </c>
      <c r="D4">
        <v>11184</v>
      </c>
      <c r="E4" s="10">
        <v>4.1034482758620694</v>
      </c>
      <c r="G4">
        <f>A4</f>
        <v>29</v>
      </c>
      <c r="H4">
        <f t="shared" ref="H4:J4" si="0">B4</f>
        <v>193</v>
      </c>
      <c r="I4">
        <f t="shared" si="0"/>
        <v>2.5862068965517242</v>
      </c>
      <c r="J4">
        <f t="shared" si="0"/>
        <v>11184</v>
      </c>
      <c r="K4">
        <f>E4</f>
        <v>4.1034482758620694</v>
      </c>
      <c r="P4" s="9" t="s">
        <v>30</v>
      </c>
      <c r="Q4">
        <v>100</v>
      </c>
    </row>
    <row r="5" spans="1:21" x14ac:dyDescent="0.3">
      <c r="P5" s="9" t="s">
        <v>25</v>
      </c>
      <c r="Q5">
        <v>75</v>
      </c>
    </row>
    <row r="6" spans="1:21" x14ac:dyDescent="0.3">
      <c r="P6" s="9" t="s">
        <v>21</v>
      </c>
      <c r="Q6">
        <v>18</v>
      </c>
    </row>
    <row r="7" spans="1:21" x14ac:dyDescent="0.3">
      <c r="A7" s="8" t="s">
        <v>82</v>
      </c>
      <c r="B7" t="s">
        <v>85</v>
      </c>
      <c r="C7" t="s">
        <v>86</v>
      </c>
      <c r="E7" s="8" t="s">
        <v>82</v>
      </c>
      <c r="F7" t="s">
        <v>85</v>
      </c>
      <c r="H7" s="8" t="s">
        <v>85</v>
      </c>
      <c r="I7" s="8" t="s">
        <v>89</v>
      </c>
      <c r="P7" s="9" t="s">
        <v>83</v>
      </c>
      <c r="Q7">
        <v>193</v>
      </c>
    </row>
    <row r="8" spans="1:21" x14ac:dyDescent="0.3">
      <c r="A8" s="9">
        <v>1</v>
      </c>
      <c r="B8">
        <v>91</v>
      </c>
      <c r="C8">
        <v>4339.7999999999993</v>
      </c>
      <c r="E8" s="9" t="s">
        <v>30</v>
      </c>
      <c r="F8">
        <v>100</v>
      </c>
      <c r="H8" s="8" t="s">
        <v>82</v>
      </c>
      <c r="I8" t="s">
        <v>30</v>
      </c>
      <c r="J8" t="s">
        <v>25</v>
      </c>
      <c r="K8" t="s">
        <v>21</v>
      </c>
      <c r="L8" t="s">
        <v>83</v>
      </c>
    </row>
    <row r="9" spans="1:21" x14ac:dyDescent="0.3">
      <c r="A9" s="9">
        <v>2</v>
      </c>
      <c r="B9">
        <v>8</v>
      </c>
      <c r="C9">
        <v>388</v>
      </c>
      <c r="E9" s="9" t="s">
        <v>25</v>
      </c>
      <c r="F9">
        <v>75</v>
      </c>
      <c r="H9" s="9" t="s">
        <v>55</v>
      </c>
      <c r="J9">
        <v>1</v>
      </c>
      <c r="L9">
        <v>1</v>
      </c>
    </row>
    <row r="10" spans="1:21" x14ac:dyDescent="0.3">
      <c r="A10" s="9">
        <v>3</v>
      </c>
      <c r="B10">
        <v>52</v>
      </c>
      <c r="C10">
        <v>2865</v>
      </c>
      <c r="E10" s="9" t="s">
        <v>21</v>
      </c>
      <c r="F10">
        <v>18</v>
      </c>
      <c r="H10" s="9" t="s">
        <v>72</v>
      </c>
      <c r="I10">
        <v>8</v>
      </c>
      <c r="L10">
        <v>8</v>
      </c>
    </row>
    <row r="11" spans="1:21" ht="18" x14ac:dyDescent="0.35">
      <c r="A11" s="9">
        <v>4</v>
      </c>
      <c r="B11">
        <v>7</v>
      </c>
      <c r="C11">
        <v>830.2</v>
      </c>
      <c r="E11" s="9" t="s">
        <v>83</v>
      </c>
      <c r="F11">
        <v>193</v>
      </c>
      <c r="H11" s="9" t="s">
        <v>34</v>
      </c>
      <c r="I11">
        <v>3</v>
      </c>
      <c r="K11">
        <v>3</v>
      </c>
      <c r="L11">
        <v>6</v>
      </c>
      <c r="O11" s="13" t="s">
        <v>90</v>
      </c>
      <c r="P11" s="14" t="s">
        <v>91</v>
      </c>
      <c r="Q11" s="13" t="s">
        <v>92</v>
      </c>
      <c r="R11" s="13" t="s">
        <v>93</v>
      </c>
      <c r="S11" s="13" t="s">
        <v>94</v>
      </c>
    </row>
    <row r="12" spans="1:21" x14ac:dyDescent="0.3">
      <c r="A12" s="9">
        <v>5</v>
      </c>
      <c r="B12">
        <v>1</v>
      </c>
      <c r="C12">
        <v>10.9</v>
      </c>
      <c r="H12" s="9" t="s">
        <v>43</v>
      </c>
      <c r="I12">
        <v>14</v>
      </c>
      <c r="L12">
        <v>14</v>
      </c>
    </row>
    <row r="13" spans="1:21" x14ac:dyDescent="0.3">
      <c r="A13" s="9">
        <v>6</v>
      </c>
      <c r="B13">
        <v>7</v>
      </c>
      <c r="C13">
        <v>363.3</v>
      </c>
      <c r="H13" s="9" t="s">
        <v>41</v>
      </c>
      <c r="I13">
        <v>8</v>
      </c>
      <c r="J13">
        <v>29</v>
      </c>
      <c r="K13">
        <v>5</v>
      </c>
      <c r="L13">
        <v>42</v>
      </c>
    </row>
    <row r="14" spans="1:21" x14ac:dyDescent="0.3">
      <c r="A14" s="9">
        <v>7</v>
      </c>
      <c r="B14">
        <v>27</v>
      </c>
      <c r="C14">
        <v>2386.8000000000002</v>
      </c>
      <c r="H14" s="9" t="s">
        <v>70</v>
      </c>
      <c r="I14">
        <v>8</v>
      </c>
      <c r="L14">
        <v>8</v>
      </c>
    </row>
    <row r="15" spans="1:21" x14ac:dyDescent="0.3">
      <c r="A15" s="9" t="s">
        <v>83</v>
      </c>
      <c r="B15">
        <v>193</v>
      </c>
      <c r="C15">
        <v>11184</v>
      </c>
      <c r="H15" s="9" t="s">
        <v>38</v>
      </c>
      <c r="I15">
        <v>7</v>
      </c>
      <c r="J15">
        <v>1</v>
      </c>
      <c r="L15">
        <v>8</v>
      </c>
    </row>
    <row r="16" spans="1:21" x14ac:dyDescent="0.3">
      <c r="H16" s="9" t="s">
        <v>16</v>
      </c>
      <c r="I16">
        <v>10</v>
      </c>
      <c r="K16">
        <v>1</v>
      </c>
      <c r="L16">
        <v>11</v>
      </c>
    </row>
    <row r="17" spans="1:15" x14ac:dyDescent="0.3">
      <c r="A17" s="8" t="s">
        <v>82</v>
      </c>
      <c r="B17" t="s">
        <v>84</v>
      </c>
      <c r="H17" s="9" t="s">
        <v>27</v>
      </c>
      <c r="I17">
        <v>3</v>
      </c>
      <c r="L17">
        <v>3</v>
      </c>
    </row>
    <row r="18" spans="1:15" x14ac:dyDescent="0.3">
      <c r="A18" s="9">
        <v>1</v>
      </c>
      <c r="B18">
        <v>4</v>
      </c>
      <c r="H18" s="9" t="s">
        <v>48</v>
      </c>
      <c r="I18">
        <v>1</v>
      </c>
      <c r="J18">
        <v>14</v>
      </c>
      <c r="K18">
        <v>5</v>
      </c>
      <c r="L18">
        <v>20</v>
      </c>
    </row>
    <row r="19" spans="1:15" x14ac:dyDescent="0.3">
      <c r="A19" s="9">
        <v>2</v>
      </c>
      <c r="B19">
        <v>4</v>
      </c>
      <c r="H19" s="9" t="s">
        <v>23</v>
      </c>
      <c r="I19">
        <v>12</v>
      </c>
      <c r="J19">
        <v>11</v>
      </c>
      <c r="L19">
        <v>23</v>
      </c>
    </row>
    <row r="20" spans="1:15" x14ac:dyDescent="0.3">
      <c r="A20" s="9">
        <v>3</v>
      </c>
      <c r="B20">
        <v>4</v>
      </c>
      <c r="H20" s="9" t="s">
        <v>78</v>
      </c>
      <c r="K20">
        <v>4</v>
      </c>
      <c r="L20">
        <v>4</v>
      </c>
    </row>
    <row r="21" spans="1:15" x14ac:dyDescent="0.3">
      <c r="A21" s="9">
        <v>4</v>
      </c>
      <c r="B21">
        <v>1</v>
      </c>
      <c r="H21" s="9" t="s">
        <v>46</v>
      </c>
      <c r="I21">
        <v>19</v>
      </c>
      <c r="L21">
        <v>19</v>
      </c>
    </row>
    <row r="22" spans="1:15" x14ac:dyDescent="0.3">
      <c r="A22" s="9">
        <v>5</v>
      </c>
      <c r="B22">
        <v>2</v>
      </c>
      <c r="H22" s="9" t="s">
        <v>32</v>
      </c>
      <c r="I22">
        <v>7</v>
      </c>
      <c r="J22">
        <v>19</v>
      </c>
      <c r="L22">
        <v>26</v>
      </c>
    </row>
    <row r="23" spans="1:15" x14ac:dyDescent="0.3">
      <c r="A23" s="9">
        <v>7</v>
      </c>
      <c r="B23">
        <v>3</v>
      </c>
      <c r="H23" s="9" t="s">
        <v>83</v>
      </c>
      <c r="I23">
        <v>100</v>
      </c>
      <c r="J23">
        <v>75</v>
      </c>
      <c r="K23">
        <v>18</v>
      </c>
      <c r="L23">
        <v>193</v>
      </c>
    </row>
    <row r="24" spans="1:15" x14ac:dyDescent="0.3">
      <c r="A24" s="9">
        <v>8</v>
      </c>
      <c r="B24">
        <v>3</v>
      </c>
    </row>
    <row r="25" spans="1:15" x14ac:dyDescent="0.3">
      <c r="A25" s="9">
        <v>9</v>
      </c>
      <c r="B25">
        <v>1</v>
      </c>
    </row>
    <row r="26" spans="1:15" ht="15" thickBot="1" x14ac:dyDescent="0.35">
      <c r="A26" s="9">
        <v>10</v>
      </c>
      <c r="B26">
        <v>2</v>
      </c>
      <c r="D26" s="8" t="s">
        <v>86</v>
      </c>
      <c r="E26" s="8" t="s">
        <v>89</v>
      </c>
    </row>
    <row r="27" spans="1:15" ht="15.6" thickTop="1" thickBot="1" x14ac:dyDescent="0.35">
      <c r="A27" s="9">
        <v>11</v>
      </c>
      <c r="B27">
        <v>1</v>
      </c>
      <c r="D27" s="8" t="s">
        <v>82</v>
      </c>
      <c r="E27" t="s">
        <v>30</v>
      </c>
      <c r="F27" t="s">
        <v>25</v>
      </c>
      <c r="G27" t="s">
        <v>21</v>
      </c>
      <c r="H27" t="s">
        <v>83</v>
      </c>
      <c r="J27" s="18"/>
      <c r="K27" s="18"/>
      <c r="L27" s="18"/>
      <c r="M27" s="18"/>
      <c r="N27" s="18"/>
      <c r="O27" s="17"/>
    </row>
    <row r="28" spans="1:15" ht="15.6" thickTop="1" thickBot="1" x14ac:dyDescent="0.35">
      <c r="A28" s="9">
        <v>12</v>
      </c>
      <c r="B28">
        <v>2</v>
      </c>
      <c r="D28" s="9" t="s">
        <v>18</v>
      </c>
      <c r="E28" s="11">
        <v>0.1815808297567954</v>
      </c>
      <c r="F28" s="11">
        <v>0.16410944206008582</v>
      </c>
      <c r="G28" s="11">
        <v>9.7460658082975684E-4</v>
      </c>
      <c r="H28" s="11">
        <v>0.34666487839771098</v>
      </c>
      <c r="J28" s="18"/>
      <c r="K28" s="19"/>
      <c r="L28" s="19"/>
      <c r="M28" s="19"/>
      <c r="N28" s="19"/>
      <c r="O28" s="17"/>
    </row>
    <row r="29" spans="1:15" ht="15.6" thickTop="1" thickBot="1" x14ac:dyDescent="0.35">
      <c r="A29" s="9">
        <v>19</v>
      </c>
      <c r="B29">
        <v>1</v>
      </c>
      <c r="D29" s="9" t="s">
        <v>52</v>
      </c>
      <c r="E29" s="11">
        <v>1.8884120171673818E-2</v>
      </c>
      <c r="F29" s="11">
        <v>0.21341201716738198</v>
      </c>
      <c r="G29" s="11">
        <v>0</v>
      </c>
      <c r="H29" s="11">
        <v>0.2322961373390558</v>
      </c>
      <c r="J29" s="18"/>
      <c r="K29" s="19"/>
      <c r="L29" s="19"/>
      <c r="M29" s="19"/>
      <c r="N29" s="19"/>
      <c r="O29" s="17"/>
    </row>
    <row r="30" spans="1:15" ht="15.6" thickTop="1" thickBot="1" x14ac:dyDescent="0.35">
      <c r="A30" s="9">
        <v>27</v>
      </c>
      <c r="B30">
        <v>1</v>
      </c>
      <c r="D30" s="9" t="s">
        <v>60</v>
      </c>
      <c r="E30" s="11">
        <v>6.3519313304721034E-2</v>
      </c>
      <c r="F30" s="11">
        <v>0</v>
      </c>
      <c r="G30" s="11">
        <v>8.3422746781115879E-3</v>
      </c>
      <c r="H30" s="11">
        <v>7.1861587982832612E-2</v>
      </c>
      <c r="J30" s="18"/>
      <c r="K30" s="19"/>
      <c r="L30" s="19"/>
      <c r="M30" s="19"/>
      <c r="N30" s="19"/>
      <c r="O30" s="17"/>
    </row>
    <row r="31" spans="1:15" ht="15.6" thickTop="1" thickBot="1" x14ac:dyDescent="0.35">
      <c r="A31" s="9" t="s">
        <v>83</v>
      </c>
      <c r="B31">
        <v>29</v>
      </c>
      <c r="D31" s="9" t="s">
        <v>44</v>
      </c>
      <c r="E31" s="11">
        <v>8.7312231759656647E-2</v>
      </c>
      <c r="F31" s="11">
        <v>8.762517882689556E-3</v>
      </c>
      <c r="G31" s="11">
        <v>1.9581545064377683E-2</v>
      </c>
      <c r="H31" s="11">
        <v>0.11565629470672389</v>
      </c>
      <c r="J31" s="18"/>
      <c r="K31" s="19"/>
      <c r="L31" s="19"/>
      <c r="M31" s="19"/>
      <c r="N31" s="19"/>
      <c r="O31" s="17"/>
    </row>
    <row r="32" spans="1:15" ht="15" thickTop="1" x14ac:dyDescent="0.3">
      <c r="D32" s="9" t="s">
        <v>39</v>
      </c>
      <c r="E32" s="11">
        <v>0.12659155937052935</v>
      </c>
      <c r="F32" s="11">
        <v>6.3716022889842641E-2</v>
      </c>
      <c r="G32" s="11">
        <v>4.3213519313304721E-2</v>
      </c>
      <c r="H32" s="11">
        <v>0.2335211015736767</v>
      </c>
      <c r="I32" s="12"/>
    </row>
    <row r="33" spans="4:8" x14ac:dyDescent="0.3">
      <c r="D33" s="9" t="s">
        <v>83</v>
      </c>
      <c r="E33" s="11">
        <v>0.47788805436337622</v>
      </c>
      <c r="F33" s="11">
        <v>0.45</v>
      </c>
      <c r="G33" s="11">
        <v>7.211194563662375E-2</v>
      </c>
      <c r="H33" s="11">
        <v>1</v>
      </c>
    </row>
    <row r="34" spans="4:8" x14ac:dyDescent="0.3">
      <c r="D34" s="9" t="s">
        <v>96</v>
      </c>
      <c r="E34" t="str">
        <f>E27</f>
        <v>Female</v>
      </c>
      <c r="F34" t="str">
        <f t="shared" ref="F34:H34" si="1">F27</f>
        <v>Male</v>
      </c>
      <c r="G34" t="str">
        <f t="shared" si="1"/>
        <v>Unknown</v>
      </c>
      <c r="H34" t="str">
        <f t="shared" si="1"/>
        <v>Grand Total</v>
      </c>
    </row>
    <row r="35" spans="4:8" x14ac:dyDescent="0.3">
      <c r="D35" t="str">
        <f>D28</f>
        <v>App</v>
      </c>
      <c r="E35" s="11">
        <f t="shared" ref="E35:H35" si="2">E28</f>
        <v>0.1815808297567954</v>
      </c>
      <c r="F35" s="11">
        <f t="shared" si="2"/>
        <v>0.16410944206008582</v>
      </c>
      <c r="G35" s="11">
        <f t="shared" si="2"/>
        <v>9.7460658082975684E-4</v>
      </c>
      <c r="H35" s="11">
        <f t="shared" si="2"/>
        <v>0.34666487839771098</v>
      </c>
    </row>
    <row r="36" spans="4:8" x14ac:dyDescent="0.3">
      <c r="D36" t="str">
        <f t="shared" ref="D36:H39" si="3">D29</f>
        <v>Instagram</v>
      </c>
      <c r="E36" s="11">
        <f t="shared" si="3"/>
        <v>1.8884120171673818E-2</v>
      </c>
      <c r="F36" s="11">
        <f t="shared" si="3"/>
        <v>0.21341201716738198</v>
      </c>
      <c r="G36" s="11">
        <f t="shared" si="3"/>
        <v>0</v>
      </c>
      <c r="H36" s="11">
        <f t="shared" si="3"/>
        <v>0.2322961373390558</v>
      </c>
    </row>
    <row r="37" spans="4:8" x14ac:dyDescent="0.3">
      <c r="D37" t="str">
        <f t="shared" si="3"/>
        <v>Partner App</v>
      </c>
      <c r="E37" s="11">
        <f t="shared" si="3"/>
        <v>6.3519313304721034E-2</v>
      </c>
      <c r="F37" s="11">
        <f t="shared" si="3"/>
        <v>0</v>
      </c>
      <c r="G37" s="11">
        <f t="shared" si="3"/>
        <v>8.3422746781115879E-3</v>
      </c>
      <c r="H37" s="11">
        <f t="shared" si="3"/>
        <v>7.1861587982832612E-2</v>
      </c>
    </row>
    <row r="38" spans="4:8" x14ac:dyDescent="0.3">
      <c r="D38" t="str">
        <f t="shared" si="3"/>
        <v>Target.com</v>
      </c>
      <c r="E38" s="11">
        <f t="shared" si="3"/>
        <v>8.7312231759656647E-2</v>
      </c>
      <c r="F38" s="11">
        <f t="shared" si="3"/>
        <v>8.762517882689556E-3</v>
      </c>
      <c r="G38" s="11">
        <f t="shared" si="3"/>
        <v>1.9581545064377683E-2</v>
      </c>
      <c r="H38" s="11">
        <f t="shared" si="3"/>
        <v>0.11565629470672389</v>
      </c>
    </row>
    <row r="39" spans="4:8" x14ac:dyDescent="0.3">
      <c r="D39" t="str">
        <f t="shared" si="3"/>
        <v>Website</v>
      </c>
      <c r="E39" s="11">
        <f t="shared" si="3"/>
        <v>0.12659155937052935</v>
      </c>
      <c r="F39" s="11">
        <f t="shared" si="3"/>
        <v>6.3716022889842641E-2</v>
      </c>
      <c r="G39" s="11">
        <f t="shared" si="3"/>
        <v>4.3213519313304721E-2</v>
      </c>
      <c r="H39" s="11">
        <f t="shared" si="3"/>
        <v>0.2335211015736767</v>
      </c>
    </row>
  </sheetData>
  <conditionalFormatting sqref="E35:F39">
    <cfRule type="colorScale" priority="2">
      <colorScale>
        <cfvo type="min"/>
        <cfvo type="max"/>
        <color rgb="FFFCFCFF"/>
        <color rgb="FF63BE7B"/>
      </colorScale>
    </cfRule>
  </conditionalFormatting>
  <conditionalFormatting sqref="G35:H39">
    <cfRule type="colorScale" priority="1">
      <colorScale>
        <cfvo type="min"/>
        <cfvo type="max"/>
        <color rgb="FFFCFCFF"/>
        <color rgb="FFF8696B"/>
      </colorScale>
    </cfRule>
  </conditionalFormatting>
  <conditionalFormatting sqref="K28:L31">
    <cfRule type="colorScale" priority="5">
      <colorScale>
        <cfvo type="min"/>
        <cfvo type="max"/>
        <color rgb="FFFCFCFF"/>
        <color rgb="FFF8696B"/>
      </colorScale>
    </cfRule>
  </conditionalFormatting>
  <conditionalFormatting sqref="M28:N31">
    <cfRule type="colorScale" priority="6">
      <colorScale>
        <cfvo type="min"/>
        <cfvo type="max"/>
        <color rgb="FFFFEF9C"/>
        <color rgb="FF63BE7B"/>
      </colorScale>
    </cfRule>
  </conditionalFormatting>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B88A4-C1FE-4A12-BB41-7CC0A20B9E22}">
  <dimension ref="A1"/>
  <sheetViews>
    <sheetView workbookViewId="0">
      <selection activeCell="E16" sqref="E16"/>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EC8B-B4F6-4F4D-B63D-3A2CE57582E0}">
  <dimension ref="V16"/>
  <sheetViews>
    <sheetView showGridLines="0" tabSelected="1" zoomScale="89" zoomScaleNormal="89" workbookViewId="0">
      <selection activeCell="V7" sqref="V7"/>
    </sheetView>
  </sheetViews>
  <sheetFormatPr defaultRowHeight="14.4" x14ac:dyDescent="0.3"/>
  <sheetData>
    <row r="16" spans="22:22" ht="15.6" x14ac:dyDescent="0.3">
      <c r="V16" s="1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A907-CCC3-4528-A758-371760B33611}">
  <dimension ref="A1:O30"/>
  <sheetViews>
    <sheetView workbookViewId="0">
      <selection sqref="A1:O30"/>
    </sheetView>
  </sheetViews>
  <sheetFormatPr defaultRowHeight="14.4" x14ac:dyDescent="0.3"/>
  <cols>
    <col min="6" max="6" width="14" customWidth="1"/>
    <col min="7" max="7" width="13.109375" customWidth="1"/>
    <col min="8" max="8" width="11.6640625" customWidth="1"/>
    <col min="9" max="9" width="13.88671875" customWidth="1"/>
    <col min="13" max="13" width="14.33203125" customWidth="1"/>
    <col min="14" max="14" width="12.33203125" customWidth="1"/>
    <col min="15" max="15" width="15.88671875" customWidth="1"/>
  </cols>
  <sheetData>
    <row r="1" spans="1:15" ht="15" thickBot="1" x14ac:dyDescent="0.35">
      <c r="A1" s="1" t="s">
        <v>1</v>
      </c>
      <c r="B1" s="2" t="s">
        <v>0</v>
      </c>
      <c r="C1" s="2" t="s">
        <v>2</v>
      </c>
      <c r="D1" s="2" t="s">
        <v>3</v>
      </c>
      <c r="E1" s="2" t="s">
        <v>4</v>
      </c>
      <c r="F1" s="2" t="s">
        <v>5</v>
      </c>
      <c r="G1" s="2" t="s">
        <v>6</v>
      </c>
      <c r="H1" s="2" t="s">
        <v>7</v>
      </c>
      <c r="I1" s="2" t="s">
        <v>8</v>
      </c>
      <c r="J1" s="2" t="s">
        <v>9</v>
      </c>
      <c r="K1" s="2" t="s">
        <v>10</v>
      </c>
      <c r="L1" s="2" t="s">
        <v>11</v>
      </c>
      <c r="M1" s="2" t="s">
        <v>12</v>
      </c>
      <c r="N1" s="2" t="s">
        <v>13</v>
      </c>
      <c r="O1" s="3" t="s">
        <v>14</v>
      </c>
    </row>
    <row r="2" spans="1:15" x14ac:dyDescent="0.3">
      <c r="A2" s="4" t="s">
        <v>15</v>
      </c>
      <c r="B2" s="4" t="s">
        <v>16</v>
      </c>
      <c r="C2" s="4">
        <v>1</v>
      </c>
      <c r="D2" s="4">
        <v>10.9</v>
      </c>
      <c r="E2" s="4">
        <v>10.9</v>
      </c>
      <c r="F2" s="5">
        <v>45658</v>
      </c>
      <c r="G2" s="5">
        <v>45663</v>
      </c>
      <c r="H2" s="4" t="s">
        <v>17</v>
      </c>
      <c r="I2" s="4" t="s">
        <v>18</v>
      </c>
      <c r="J2" s="4">
        <v>4</v>
      </c>
      <c r="K2" s="4" t="s">
        <v>19</v>
      </c>
      <c r="L2" s="4" t="s">
        <v>20</v>
      </c>
      <c r="M2" s="4">
        <v>5</v>
      </c>
      <c r="N2" s="4">
        <v>1</v>
      </c>
      <c r="O2" s="4" t="s">
        <v>21</v>
      </c>
    </row>
    <row r="3" spans="1:15" x14ac:dyDescent="0.3">
      <c r="A3" s="6" t="s">
        <v>22</v>
      </c>
      <c r="B3" s="6" t="s">
        <v>23</v>
      </c>
      <c r="C3" s="6">
        <v>2</v>
      </c>
      <c r="D3" s="6">
        <v>30.6</v>
      </c>
      <c r="E3" s="6">
        <v>61.2</v>
      </c>
      <c r="F3" s="7">
        <v>45658</v>
      </c>
      <c r="G3" s="7">
        <v>45660</v>
      </c>
      <c r="H3" s="6" t="s">
        <v>17</v>
      </c>
      <c r="I3" s="6" t="s">
        <v>18</v>
      </c>
      <c r="J3" s="6">
        <v>4</v>
      </c>
      <c r="K3" s="6" t="s">
        <v>19</v>
      </c>
      <c r="L3" s="6" t="s">
        <v>24</v>
      </c>
      <c r="M3" s="6">
        <v>2</v>
      </c>
      <c r="N3" s="6">
        <v>1</v>
      </c>
      <c r="O3" s="6" t="s">
        <v>25</v>
      </c>
    </row>
    <row r="4" spans="1:15" x14ac:dyDescent="0.3">
      <c r="A4" s="6" t="s">
        <v>26</v>
      </c>
      <c r="B4" s="6" t="s">
        <v>27</v>
      </c>
      <c r="C4" s="6">
        <v>3</v>
      </c>
      <c r="D4" s="6">
        <v>109.4</v>
      </c>
      <c r="E4" s="6">
        <v>328.2</v>
      </c>
      <c r="F4" s="7">
        <v>45658</v>
      </c>
      <c r="G4" s="7">
        <v>45661</v>
      </c>
      <c r="H4" s="6" t="s">
        <v>28</v>
      </c>
      <c r="I4" s="6" t="s">
        <v>18</v>
      </c>
      <c r="J4" s="6">
        <v>3</v>
      </c>
      <c r="K4" s="6" t="s">
        <v>19</v>
      </c>
      <c r="L4" s="6" t="s">
        <v>29</v>
      </c>
      <c r="M4" s="6">
        <v>3</v>
      </c>
      <c r="N4" s="6">
        <v>1</v>
      </c>
      <c r="O4" s="6" t="s">
        <v>30</v>
      </c>
    </row>
    <row r="5" spans="1:15" x14ac:dyDescent="0.3">
      <c r="A5" s="6" t="s">
        <v>31</v>
      </c>
      <c r="B5" s="6" t="s">
        <v>32</v>
      </c>
      <c r="C5" s="6">
        <v>7</v>
      </c>
      <c r="D5" s="6">
        <v>37.700000000000003</v>
      </c>
      <c r="E5" s="6">
        <v>263.89999999999998</v>
      </c>
      <c r="F5" s="7">
        <v>45658</v>
      </c>
      <c r="G5" s="7">
        <v>45659</v>
      </c>
      <c r="H5" s="6" t="s">
        <v>28</v>
      </c>
      <c r="I5" s="6" t="s">
        <v>18</v>
      </c>
      <c r="J5" s="6">
        <v>4</v>
      </c>
      <c r="K5" s="6" t="s">
        <v>19</v>
      </c>
      <c r="L5" s="6" t="s">
        <v>29</v>
      </c>
      <c r="M5" s="6">
        <v>1</v>
      </c>
      <c r="N5" s="6">
        <v>1</v>
      </c>
      <c r="O5" s="6" t="s">
        <v>30</v>
      </c>
    </row>
    <row r="6" spans="1:15" x14ac:dyDescent="0.3">
      <c r="A6" s="6" t="s">
        <v>33</v>
      </c>
      <c r="B6" s="6" t="s">
        <v>34</v>
      </c>
      <c r="C6" s="6">
        <v>3</v>
      </c>
      <c r="D6" s="6">
        <v>56.7</v>
      </c>
      <c r="E6" s="6">
        <v>170.1</v>
      </c>
      <c r="F6" s="7">
        <v>45658</v>
      </c>
      <c r="G6" s="7">
        <v>45661</v>
      </c>
      <c r="H6" s="6" t="s">
        <v>28</v>
      </c>
      <c r="I6" s="6" t="s">
        <v>18</v>
      </c>
      <c r="J6" s="6">
        <v>4</v>
      </c>
      <c r="K6" s="6" t="s">
        <v>19</v>
      </c>
      <c r="L6" s="6" t="s">
        <v>35</v>
      </c>
      <c r="M6" s="6">
        <v>3</v>
      </c>
      <c r="N6" s="6">
        <v>1</v>
      </c>
      <c r="O6" s="6" t="s">
        <v>30</v>
      </c>
    </row>
    <row r="7" spans="1:15" x14ac:dyDescent="0.3">
      <c r="A7" s="6" t="s">
        <v>36</v>
      </c>
      <c r="B7" s="6" t="s">
        <v>23</v>
      </c>
      <c r="C7" s="6">
        <v>12</v>
      </c>
      <c r="D7" s="6">
        <v>83.5</v>
      </c>
      <c r="E7" s="6">
        <v>1002</v>
      </c>
      <c r="F7" s="7">
        <v>45658</v>
      </c>
      <c r="G7" s="7">
        <v>45661</v>
      </c>
      <c r="H7" s="6" t="s">
        <v>17</v>
      </c>
      <c r="I7" s="6" t="s">
        <v>18</v>
      </c>
      <c r="J7" s="6">
        <v>5</v>
      </c>
      <c r="K7" s="6" t="s">
        <v>19</v>
      </c>
      <c r="L7" s="6" t="s">
        <v>35</v>
      </c>
      <c r="M7" s="6">
        <v>3</v>
      </c>
      <c r="N7" s="6">
        <v>1</v>
      </c>
      <c r="O7" s="6" t="s">
        <v>30</v>
      </c>
    </row>
    <row r="8" spans="1:15" x14ac:dyDescent="0.3">
      <c r="A8" s="6" t="s">
        <v>37</v>
      </c>
      <c r="B8" s="6" t="s">
        <v>38</v>
      </c>
      <c r="C8" s="6">
        <v>1</v>
      </c>
      <c r="D8" s="6">
        <v>55.3</v>
      </c>
      <c r="E8" s="6">
        <v>55.3</v>
      </c>
      <c r="F8" s="7">
        <v>45658</v>
      </c>
      <c r="G8" s="7">
        <v>45661</v>
      </c>
      <c r="H8" s="6" t="s">
        <v>17</v>
      </c>
      <c r="I8" s="6" t="s">
        <v>39</v>
      </c>
      <c r="J8" s="6">
        <v>4</v>
      </c>
      <c r="K8" s="6" t="s">
        <v>19</v>
      </c>
      <c r="L8" s="6" t="s">
        <v>35</v>
      </c>
      <c r="M8" s="6">
        <v>3</v>
      </c>
      <c r="N8" s="6">
        <v>1</v>
      </c>
      <c r="O8" s="6" t="s">
        <v>25</v>
      </c>
    </row>
    <row r="9" spans="1:15" x14ac:dyDescent="0.3">
      <c r="A9" s="6" t="s">
        <v>40</v>
      </c>
      <c r="B9" s="6" t="s">
        <v>41</v>
      </c>
      <c r="C9" s="6">
        <v>2</v>
      </c>
      <c r="D9" s="6">
        <v>40.299999999999997</v>
      </c>
      <c r="E9" s="6">
        <v>80.599999999999994</v>
      </c>
      <c r="F9" s="7">
        <v>45658</v>
      </c>
      <c r="G9" s="7">
        <v>45659</v>
      </c>
      <c r="H9" s="6" t="s">
        <v>17</v>
      </c>
      <c r="I9" s="6" t="s">
        <v>18</v>
      </c>
      <c r="J9" s="6">
        <v>4</v>
      </c>
      <c r="K9" s="6" t="s">
        <v>19</v>
      </c>
      <c r="L9" s="6" t="s">
        <v>35</v>
      </c>
      <c r="M9" s="6">
        <v>1</v>
      </c>
      <c r="N9" s="6">
        <v>1</v>
      </c>
      <c r="O9" s="6" t="s">
        <v>25</v>
      </c>
    </row>
    <row r="10" spans="1:15" x14ac:dyDescent="0.3">
      <c r="A10" s="6" t="s">
        <v>42</v>
      </c>
      <c r="B10" s="6" t="s">
        <v>43</v>
      </c>
      <c r="C10" s="6">
        <v>11</v>
      </c>
      <c r="D10" s="6">
        <v>35.700000000000003</v>
      </c>
      <c r="E10" s="6">
        <v>392.7</v>
      </c>
      <c r="F10" s="7">
        <v>45658</v>
      </c>
      <c r="G10" s="7">
        <v>45659</v>
      </c>
      <c r="H10" s="6" t="s">
        <v>28</v>
      </c>
      <c r="I10" s="6" t="s">
        <v>44</v>
      </c>
      <c r="J10" s="6">
        <v>5</v>
      </c>
      <c r="K10" s="6" t="s">
        <v>19</v>
      </c>
      <c r="L10" s="6" t="s">
        <v>35</v>
      </c>
      <c r="M10" s="6">
        <v>1</v>
      </c>
      <c r="N10" s="6">
        <v>1</v>
      </c>
      <c r="O10" s="6" t="s">
        <v>30</v>
      </c>
    </row>
    <row r="11" spans="1:15" x14ac:dyDescent="0.3">
      <c r="A11" s="6" t="s">
        <v>45</v>
      </c>
      <c r="B11" s="6" t="s">
        <v>46</v>
      </c>
      <c r="C11" s="6">
        <v>7</v>
      </c>
      <c r="D11" s="6">
        <v>22.4</v>
      </c>
      <c r="E11" s="6">
        <v>156.80000000000001</v>
      </c>
      <c r="F11" s="7">
        <v>45658</v>
      </c>
      <c r="G11" s="7">
        <v>45661</v>
      </c>
      <c r="H11" s="6" t="s">
        <v>17</v>
      </c>
      <c r="I11" s="6" t="s">
        <v>18</v>
      </c>
      <c r="J11" s="6">
        <v>4</v>
      </c>
      <c r="K11" s="6" t="s">
        <v>19</v>
      </c>
      <c r="L11" s="6" t="s">
        <v>35</v>
      </c>
      <c r="M11" s="6">
        <v>3</v>
      </c>
      <c r="N11" s="6">
        <v>1</v>
      </c>
      <c r="O11" s="6" t="s">
        <v>30</v>
      </c>
    </row>
    <row r="12" spans="1:15" x14ac:dyDescent="0.3">
      <c r="A12" s="6" t="s">
        <v>47</v>
      </c>
      <c r="B12" s="6" t="s">
        <v>48</v>
      </c>
      <c r="C12" s="6">
        <v>2</v>
      </c>
      <c r="D12" s="6">
        <v>54.4</v>
      </c>
      <c r="E12" s="6">
        <v>108.8</v>
      </c>
      <c r="F12" s="7">
        <v>45658</v>
      </c>
      <c r="G12" s="7">
        <v>45664</v>
      </c>
      <c r="H12" s="6" t="s">
        <v>17</v>
      </c>
      <c r="I12" s="6" t="s">
        <v>18</v>
      </c>
      <c r="J12" s="6">
        <v>3</v>
      </c>
      <c r="K12" s="6" t="s">
        <v>19</v>
      </c>
      <c r="L12" s="6" t="s">
        <v>35</v>
      </c>
      <c r="M12" s="6">
        <v>6</v>
      </c>
      <c r="N12" s="6">
        <v>1</v>
      </c>
      <c r="O12" s="6" t="s">
        <v>25</v>
      </c>
    </row>
    <row r="13" spans="1:15" x14ac:dyDescent="0.3">
      <c r="A13" s="6" t="s">
        <v>49</v>
      </c>
      <c r="B13" s="6" t="s">
        <v>48</v>
      </c>
      <c r="C13" s="6">
        <v>2</v>
      </c>
      <c r="D13" s="6">
        <v>49</v>
      </c>
      <c r="E13" s="6">
        <v>98</v>
      </c>
      <c r="F13" s="7">
        <v>45658</v>
      </c>
      <c r="G13" s="7">
        <v>45660</v>
      </c>
      <c r="H13" s="6" t="s">
        <v>28</v>
      </c>
      <c r="I13" s="6" t="s">
        <v>44</v>
      </c>
      <c r="J13" s="6">
        <v>4</v>
      </c>
      <c r="K13" s="6" t="s">
        <v>19</v>
      </c>
      <c r="L13" s="6" t="s">
        <v>35</v>
      </c>
      <c r="M13" s="6">
        <v>2</v>
      </c>
      <c r="N13" s="6">
        <v>1</v>
      </c>
      <c r="O13" s="6" t="s">
        <v>25</v>
      </c>
    </row>
    <row r="14" spans="1:15" x14ac:dyDescent="0.3">
      <c r="A14" s="6" t="s">
        <v>50</v>
      </c>
      <c r="B14" s="6" t="s">
        <v>38</v>
      </c>
      <c r="C14" s="6">
        <v>7</v>
      </c>
      <c r="D14" s="6">
        <v>118.6</v>
      </c>
      <c r="E14" s="6">
        <v>830.2</v>
      </c>
      <c r="F14" s="7">
        <v>45658</v>
      </c>
      <c r="G14" s="7">
        <v>45662</v>
      </c>
      <c r="H14" s="6" t="s">
        <v>17</v>
      </c>
      <c r="I14" s="6" t="s">
        <v>39</v>
      </c>
      <c r="J14" s="6">
        <v>4</v>
      </c>
      <c r="K14" s="6" t="s">
        <v>19</v>
      </c>
      <c r="L14" s="6" t="s">
        <v>35</v>
      </c>
      <c r="M14" s="6">
        <v>4</v>
      </c>
      <c r="N14" s="6">
        <v>1</v>
      </c>
      <c r="O14" s="6" t="s">
        <v>30</v>
      </c>
    </row>
    <row r="15" spans="1:15" x14ac:dyDescent="0.3">
      <c r="A15" s="6" t="s">
        <v>51</v>
      </c>
      <c r="B15" s="6" t="s">
        <v>41</v>
      </c>
      <c r="C15" s="6">
        <v>27</v>
      </c>
      <c r="D15" s="6">
        <v>88.4</v>
      </c>
      <c r="E15" s="6">
        <v>2386.8000000000002</v>
      </c>
      <c r="F15" s="7">
        <v>45658</v>
      </c>
      <c r="G15" s="7">
        <v>45665</v>
      </c>
      <c r="H15" s="6" t="s">
        <v>17</v>
      </c>
      <c r="I15" s="6" t="s">
        <v>52</v>
      </c>
      <c r="J15" s="6">
        <v>4</v>
      </c>
      <c r="K15" s="6" t="s">
        <v>19</v>
      </c>
      <c r="L15" s="6" t="s">
        <v>53</v>
      </c>
      <c r="M15" s="6">
        <v>7</v>
      </c>
      <c r="N15" s="6">
        <v>1</v>
      </c>
      <c r="O15" s="6" t="s">
        <v>25</v>
      </c>
    </row>
    <row r="16" spans="1:15" x14ac:dyDescent="0.3">
      <c r="A16" s="6" t="s">
        <v>54</v>
      </c>
      <c r="B16" s="6" t="s">
        <v>55</v>
      </c>
      <c r="C16" s="6">
        <v>1</v>
      </c>
      <c r="D16" s="6">
        <v>66.7</v>
      </c>
      <c r="E16" s="6">
        <v>66.7</v>
      </c>
      <c r="F16" s="7">
        <v>45658</v>
      </c>
      <c r="G16" s="7">
        <v>45661</v>
      </c>
      <c r="H16" s="6" t="s">
        <v>17</v>
      </c>
      <c r="I16" s="6" t="s">
        <v>18</v>
      </c>
      <c r="J16" s="6">
        <v>4</v>
      </c>
      <c r="K16" s="6" t="s">
        <v>19</v>
      </c>
      <c r="L16" s="6" t="s">
        <v>56</v>
      </c>
      <c r="M16" s="6">
        <v>3</v>
      </c>
      <c r="N16" s="6">
        <v>1</v>
      </c>
      <c r="O16" s="6" t="s">
        <v>25</v>
      </c>
    </row>
    <row r="17" spans="1:15" x14ac:dyDescent="0.3">
      <c r="A17" s="6" t="s">
        <v>57</v>
      </c>
      <c r="B17" s="6" t="s">
        <v>48</v>
      </c>
      <c r="C17" s="6">
        <v>10</v>
      </c>
      <c r="D17" s="6">
        <v>30.9</v>
      </c>
      <c r="E17" s="6">
        <v>309</v>
      </c>
      <c r="F17" s="7">
        <v>45658</v>
      </c>
      <c r="G17" s="7">
        <v>45659</v>
      </c>
      <c r="H17" s="6" t="s">
        <v>28</v>
      </c>
      <c r="I17" s="6" t="s">
        <v>39</v>
      </c>
      <c r="J17" s="6">
        <v>5</v>
      </c>
      <c r="K17" s="6" t="s">
        <v>19</v>
      </c>
      <c r="L17" s="6" t="s">
        <v>58</v>
      </c>
      <c r="M17" s="6">
        <v>1</v>
      </c>
      <c r="N17" s="6">
        <v>1</v>
      </c>
      <c r="O17" s="6" t="s">
        <v>25</v>
      </c>
    </row>
    <row r="18" spans="1:15" x14ac:dyDescent="0.3">
      <c r="A18" s="6" t="s">
        <v>59</v>
      </c>
      <c r="B18" s="6" t="s">
        <v>34</v>
      </c>
      <c r="C18" s="6">
        <v>3</v>
      </c>
      <c r="D18" s="6">
        <v>31.1</v>
      </c>
      <c r="E18" s="6">
        <v>93.3</v>
      </c>
      <c r="F18" s="7">
        <v>45658</v>
      </c>
      <c r="G18" s="7">
        <v>45659</v>
      </c>
      <c r="H18" s="6" t="s">
        <v>28</v>
      </c>
      <c r="I18" s="6" t="s">
        <v>60</v>
      </c>
      <c r="J18" s="6">
        <v>3</v>
      </c>
      <c r="K18" s="6" t="s">
        <v>19</v>
      </c>
      <c r="L18" s="6" t="s">
        <v>58</v>
      </c>
      <c r="M18" s="6">
        <v>1</v>
      </c>
      <c r="N18" s="6">
        <v>1</v>
      </c>
      <c r="O18" s="6" t="s">
        <v>21</v>
      </c>
    </row>
    <row r="19" spans="1:15" x14ac:dyDescent="0.3">
      <c r="A19" s="6" t="s">
        <v>61</v>
      </c>
      <c r="B19" s="6" t="s">
        <v>43</v>
      </c>
      <c r="C19" s="6">
        <v>3</v>
      </c>
      <c r="D19" s="6">
        <v>36.6</v>
      </c>
      <c r="E19" s="6">
        <v>109.8</v>
      </c>
      <c r="F19" s="7">
        <v>45658</v>
      </c>
      <c r="G19" s="7">
        <v>45661</v>
      </c>
      <c r="H19" s="6" t="s">
        <v>28</v>
      </c>
      <c r="I19" s="6" t="s">
        <v>18</v>
      </c>
      <c r="J19" s="6">
        <v>4</v>
      </c>
      <c r="K19" s="6" t="s">
        <v>19</v>
      </c>
      <c r="L19" s="6" t="s">
        <v>62</v>
      </c>
      <c r="M19" s="6">
        <v>3</v>
      </c>
      <c r="N19" s="6">
        <v>1</v>
      </c>
      <c r="O19" s="6" t="s">
        <v>30</v>
      </c>
    </row>
    <row r="20" spans="1:15" x14ac:dyDescent="0.3">
      <c r="A20" s="6" t="s">
        <v>63</v>
      </c>
      <c r="B20" s="6" t="s">
        <v>41</v>
      </c>
      <c r="C20" s="6">
        <v>8</v>
      </c>
      <c r="D20" s="6">
        <v>51.1</v>
      </c>
      <c r="E20" s="6">
        <v>408.8</v>
      </c>
      <c r="F20" s="7">
        <v>45658</v>
      </c>
      <c r="G20" s="7">
        <v>45661</v>
      </c>
      <c r="H20" s="6" t="s">
        <v>28</v>
      </c>
      <c r="I20" s="6" t="s">
        <v>44</v>
      </c>
      <c r="J20" s="6">
        <v>4</v>
      </c>
      <c r="K20" s="6" t="s">
        <v>19</v>
      </c>
      <c r="L20" s="6" t="s">
        <v>62</v>
      </c>
      <c r="M20" s="6">
        <v>3</v>
      </c>
      <c r="N20" s="6">
        <v>1</v>
      </c>
      <c r="O20" s="6" t="s">
        <v>30</v>
      </c>
    </row>
    <row r="21" spans="1:15" x14ac:dyDescent="0.3">
      <c r="A21" s="6" t="s">
        <v>64</v>
      </c>
      <c r="B21" s="6" t="s">
        <v>48</v>
      </c>
      <c r="C21" s="6">
        <v>1</v>
      </c>
      <c r="D21" s="6">
        <v>25.2</v>
      </c>
      <c r="E21" s="6">
        <v>25.2</v>
      </c>
      <c r="F21" s="7">
        <v>45658</v>
      </c>
      <c r="G21" s="7">
        <v>45659</v>
      </c>
      <c r="H21" s="6" t="s">
        <v>28</v>
      </c>
      <c r="I21" s="6" t="s">
        <v>39</v>
      </c>
      <c r="J21" s="6">
        <v>5</v>
      </c>
      <c r="K21" s="6" t="s">
        <v>19</v>
      </c>
      <c r="L21" s="6" t="s">
        <v>65</v>
      </c>
      <c r="M21" s="6">
        <v>1</v>
      </c>
      <c r="N21" s="6">
        <v>1</v>
      </c>
      <c r="O21" s="6" t="s">
        <v>30</v>
      </c>
    </row>
    <row r="22" spans="1:15" x14ac:dyDescent="0.3">
      <c r="A22" s="6" t="s">
        <v>66</v>
      </c>
      <c r="B22" s="6" t="s">
        <v>48</v>
      </c>
      <c r="C22" s="6">
        <v>5</v>
      </c>
      <c r="D22" s="6">
        <v>43.8</v>
      </c>
      <c r="E22" s="6">
        <v>219</v>
      </c>
      <c r="F22" s="7">
        <v>45658</v>
      </c>
      <c r="G22" s="7">
        <v>45661</v>
      </c>
      <c r="H22" s="6" t="s">
        <v>28</v>
      </c>
      <c r="I22" s="6" t="s">
        <v>44</v>
      </c>
      <c r="J22" s="6">
        <v>4</v>
      </c>
      <c r="K22" s="6" t="s">
        <v>19</v>
      </c>
      <c r="L22" s="6" t="s">
        <v>65</v>
      </c>
      <c r="M22" s="6">
        <v>3</v>
      </c>
      <c r="N22" s="6">
        <v>1</v>
      </c>
      <c r="O22" s="6" t="s">
        <v>21</v>
      </c>
    </row>
    <row r="23" spans="1:15" x14ac:dyDescent="0.3">
      <c r="A23" s="6" t="s">
        <v>67</v>
      </c>
      <c r="B23" s="6" t="s">
        <v>46</v>
      </c>
      <c r="C23" s="6">
        <v>12</v>
      </c>
      <c r="D23" s="6">
        <v>46.7</v>
      </c>
      <c r="E23" s="6">
        <v>560.4</v>
      </c>
      <c r="F23" s="7">
        <v>45658</v>
      </c>
      <c r="G23" s="7">
        <v>45659</v>
      </c>
      <c r="H23" s="6" t="s">
        <v>28</v>
      </c>
      <c r="I23" s="6" t="s">
        <v>39</v>
      </c>
      <c r="J23" s="6">
        <v>3</v>
      </c>
      <c r="K23" s="6" t="s">
        <v>19</v>
      </c>
      <c r="L23" s="6" t="s">
        <v>65</v>
      </c>
      <c r="M23" s="6">
        <v>1</v>
      </c>
      <c r="N23" s="6">
        <v>1</v>
      </c>
      <c r="O23" s="6" t="s">
        <v>30</v>
      </c>
    </row>
    <row r="24" spans="1:15" x14ac:dyDescent="0.3">
      <c r="A24" s="6" t="s">
        <v>68</v>
      </c>
      <c r="B24" s="6" t="s">
        <v>32</v>
      </c>
      <c r="C24" s="6">
        <v>19</v>
      </c>
      <c r="D24" s="6">
        <v>79.900000000000006</v>
      </c>
      <c r="E24" s="6">
        <v>1518.1</v>
      </c>
      <c r="F24" s="7">
        <v>45658</v>
      </c>
      <c r="G24" s="7">
        <v>45659</v>
      </c>
      <c r="H24" s="6" t="s">
        <v>17</v>
      </c>
      <c r="I24" s="6" t="s">
        <v>18</v>
      </c>
      <c r="J24" s="6">
        <v>5</v>
      </c>
      <c r="K24" s="6" t="s">
        <v>19</v>
      </c>
      <c r="L24" s="6" t="s">
        <v>65</v>
      </c>
      <c r="M24" s="6">
        <v>1</v>
      </c>
      <c r="N24" s="6">
        <v>1</v>
      </c>
      <c r="O24" s="6" t="s">
        <v>25</v>
      </c>
    </row>
    <row r="25" spans="1:15" x14ac:dyDescent="0.3">
      <c r="A25" s="6" t="s">
        <v>69</v>
      </c>
      <c r="B25" s="6" t="s">
        <v>70</v>
      </c>
      <c r="C25" s="6">
        <v>8</v>
      </c>
      <c r="D25" s="6">
        <v>26.4</v>
      </c>
      <c r="E25" s="6">
        <v>211.2</v>
      </c>
      <c r="F25" s="7">
        <v>45658</v>
      </c>
      <c r="G25" s="7">
        <v>45659</v>
      </c>
      <c r="H25" s="6" t="s">
        <v>28</v>
      </c>
      <c r="I25" s="6" t="s">
        <v>52</v>
      </c>
      <c r="J25" s="6">
        <v>4</v>
      </c>
      <c r="K25" s="6" t="s">
        <v>19</v>
      </c>
      <c r="L25" s="6" t="s">
        <v>65</v>
      </c>
      <c r="M25" s="6">
        <v>1</v>
      </c>
      <c r="N25" s="6">
        <v>1</v>
      </c>
      <c r="O25" s="6" t="s">
        <v>30</v>
      </c>
    </row>
    <row r="26" spans="1:15" x14ac:dyDescent="0.3">
      <c r="A26" s="6" t="s">
        <v>71</v>
      </c>
      <c r="B26" s="6" t="s">
        <v>72</v>
      </c>
      <c r="C26" s="6">
        <v>8</v>
      </c>
      <c r="D26" s="6">
        <v>88.8</v>
      </c>
      <c r="E26" s="6">
        <v>710.4</v>
      </c>
      <c r="F26" s="7">
        <v>45658</v>
      </c>
      <c r="G26" s="7">
        <v>45659</v>
      </c>
      <c r="H26" s="6" t="s">
        <v>28</v>
      </c>
      <c r="I26" s="6" t="s">
        <v>60</v>
      </c>
      <c r="J26" s="6">
        <v>4</v>
      </c>
      <c r="K26" s="6" t="s">
        <v>19</v>
      </c>
      <c r="L26" s="6" t="s">
        <v>65</v>
      </c>
      <c r="M26" s="6">
        <v>1</v>
      </c>
      <c r="N26" s="6">
        <v>1</v>
      </c>
      <c r="O26" s="6" t="s">
        <v>30</v>
      </c>
    </row>
    <row r="27" spans="1:15" x14ac:dyDescent="0.3">
      <c r="A27" s="6" t="s">
        <v>73</v>
      </c>
      <c r="B27" s="6" t="s">
        <v>16</v>
      </c>
      <c r="C27" s="6">
        <v>10</v>
      </c>
      <c r="D27" s="6">
        <v>17.5</v>
      </c>
      <c r="E27" s="6">
        <v>175</v>
      </c>
      <c r="F27" s="7">
        <v>45658</v>
      </c>
      <c r="G27" s="7">
        <v>45659</v>
      </c>
      <c r="H27" s="6" t="s">
        <v>28</v>
      </c>
      <c r="I27" s="6" t="s">
        <v>44</v>
      </c>
      <c r="J27" s="6">
        <v>4</v>
      </c>
      <c r="K27" s="6" t="s">
        <v>19</v>
      </c>
      <c r="L27" s="6" t="s">
        <v>74</v>
      </c>
      <c r="M27" s="6">
        <v>1</v>
      </c>
      <c r="N27" s="6">
        <v>1</v>
      </c>
      <c r="O27" s="6" t="s">
        <v>30</v>
      </c>
    </row>
    <row r="28" spans="1:15" x14ac:dyDescent="0.3">
      <c r="A28" s="6" t="s">
        <v>75</v>
      </c>
      <c r="B28" s="6" t="s">
        <v>23</v>
      </c>
      <c r="C28" s="6">
        <v>9</v>
      </c>
      <c r="D28" s="6">
        <v>38.700000000000003</v>
      </c>
      <c r="E28" s="6">
        <v>348.3</v>
      </c>
      <c r="F28" s="7">
        <v>45658</v>
      </c>
      <c r="G28" s="7">
        <v>45661</v>
      </c>
      <c r="H28" s="6" t="s">
        <v>17</v>
      </c>
      <c r="I28" s="6" t="s">
        <v>39</v>
      </c>
      <c r="J28" s="6">
        <v>4</v>
      </c>
      <c r="K28" s="6" t="s">
        <v>19</v>
      </c>
      <c r="L28" s="6" t="s">
        <v>76</v>
      </c>
      <c r="M28" s="6">
        <v>3</v>
      </c>
      <c r="N28" s="6">
        <v>1</v>
      </c>
      <c r="O28" s="6" t="s">
        <v>25</v>
      </c>
    </row>
    <row r="29" spans="1:15" x14ac:dyDescent="0.3">
      <c r="A29" s="6" t="s">
        <v>77</v>
      </c>
      <c r="B29" s="6" t="s">
        <v>78</v>
      </c>
      <c r="C29" s="6">
        <v>4</v>
      </c>
      <c r="D29" s="6">
        <v>57.2</v>
      </c>
      <c r="E29" s="6">
        <v>228.8</v>
      </c>
      <c r="F29" s="7">
        <v>45658</v>
      </c>
      <c r="G29" s="7">
        <v>45660</v>
      </c>
      <c r="H29" s="6" t="s">
        <v>17</v>
      </c>
      <c r="I29" s="6" t="s">
        <v>39</v>
      </c>
      <c r="J29" s="6">
        <v>5</v>
      </c>
      <c r="K29" s="6" t="s">
        <v>19</v>
      </c>
      <c r="L29" s="6" t="s">
        <v>79</v>
      </c>
      <c r="M29" s="6">
        <v>2</v>
      </c>
      <c r="N29" s="6">
        <v>1</v>
      </c>
      <c r="O29" s="6" t="s">
        <v>21</v>
      </c>
    </row>
    <row r="30" spans="1:15" x14ac:dyDescent="0.3">
      <c r="A30" s="6" t="s">
        <v>80</v>
      </c>
      <c r="B30" s="6" t="s">
        <v>41</v>
      </c>
      <c r="C30" s="6">
        <v>5</v>
      </c>
      <c r="D30" s="6">
        <v>50.9</v>
      </c>
      <c r="E30" s="6">
        <v>254.5</v>
      </c>
      <c r="F30" s="7">
        <v>45658</v>
      </c>
      <c r="G30" s="7">
        <v>45664</v>
      </c>
      <c r="H30" s="6" t="s">
        <v>28</v>
      </c>
      <c r="I30" s="6" t="s">
        <v>39</v>
      </c>
      <c r="J30" s="6">
        <v>5</v>
      </c>
      <c r="K30" s="6" t="s">
        <v>19</v>
      </c>
      <c r="L30" s="6" t="s">
        <v>81</v>
      </c>
      <c r="M30" s="6">
        <v>6</v>
      </c>
      <c r="N30" s="6">
        <v>1</v>
      </c>
      <c r="O30" s="6"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Sheet1</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Saini</dc:creator>
  <cp:lastModifiedBy>Priyanka Saini</cp:lastModifiedBy>
  <dcterms:created xsi:type="dcterms:W3CDTF">2026-09-15T13:03:01Z</dcterms:created>
  <dcterms:modified xsi:type="dcterms:W3CDTF">2026-10-13T10:33:52Z</dcterms:modified>
</cp:coreProperties>
</file>