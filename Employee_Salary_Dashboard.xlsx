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docs.live.net/af2fa56bb79ca2e7/Desktop/"/>
    </mc:Choice>
  </mc:AlternateContent>
  <xr:revisionPtr revIDLastSave="19" documentId="8_{728E842D-E5C6-4910-80F5-C9D10F64683B}" xr6:coauthVersionLast="47" xr6:coauthVersionMax="47" xr10:uidLastSave="{8E455A02-0566-4AA9-A10F-CF66593B6F33}"/>
  <bookViews>
    <workbookView xWindow="-108" yWindow="-108" windowWidth="23256" windowHeight="12456" activeTab="3" xr2:uid="{71064AA8-6BC4-448D-8478-EBC4F93FA04C}"/>
  </bookViews>
  <sheets>
    <sheet name="Sheet1" sheetId="6" r:id="rId1"/>
    <sheet name="Sheet2" sheetId="8" r:id="rId2"/>
    <sheet name="employees_data" sheetId="1" r:id="rId3"/>
    <sheet name="Dashboard" sheetId="2" r:id="rId4"/>
    <sheet name="Sheet5" sheetId="5" r:id="rId5"/>
  </sheets>
  <definedNames>
    <definedName name="_xlnm._FilterDatabase" localSheetId="2" hidden="1">employees_data!$L$1:$L$4411</definedName>
    <definedName name="Slicer_City">#N/A</definedName>
    <definedName name="Slicer_Department">#N/A</definedName>
    <definedName name="Slicer_Education_Level">#N/A</definedName>
    <definedName name="Slicer_Gender">#N/A</definedName>
  </definedNames>
  <calcPr calcId="181029"/>
  <pivotCaches>
    <pivotCache cacheId="3" r:id="rId6"/>
    <pivotCache cacheId="5"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 i="6" l="1"/>
  <c r="J4" i="6"/>
  <c r="E4" i="8"/>
  <c r="D4" i="8"/>
  <c r="H4" i="6"/>
  <c r="G4" i="6"/>
</calcChain>
</file>

<file path=xl/sharedStrings.xml><?xml version="1.0" encoding="utf-8"?>
<sst xmlns="http://schemas.openxmlformats.org/spreadsheetml/2006/main" count="380" uniqueCount="117">
  <si>
    <t>Age</t>
  </si>
  <si>
    <t>Department</t>
  </si>
  <si>
    <t>EmployeeID</t>
  </si>
  <si>
    <t>Gender</t>
  </si>
  <si>
    <t>JobRole</t>
  </si>
  <si>
    <t>Female</t>
  </si>
  <si>
    <t>Research Scientist</t>
  </si>
  <si>
    <t>Male</t>
  </si>
  <si>
    <t>Sales Executive</t>
  </si>
  <si>
    <t>Research Director</t>
  </si>
  <si>
    <t>Manager</t>
  </si>
  <si>
    <t>Marketing</t>
  </si>
  <si>
    <t>Average of Age</t>
  </si>
  <si>
    <t>Name</t>
  </si>
  <si>
    <t>Experience_Years</t>
  </si>
  <si>
    <t>Education_Level</t>
  </si>
  <si>
    <t>City</t>
  </si>
  <si>
    <t>Monthly_Salary</t>
  </si>
  <si>
    <t>Claire Gute</t>
  </si>
  <si>
    <t>Master</t>
  </si>
  <si>
    <t>Delhi</t>
  </si>
  <si>
    <t>Darrin Van Huff</t>
  </si>
  <si>
    <t>Operations</t>
  </si>
  <si>
    <t>Bachelor</t>
  </si>
  <si>
    <t>Bangalore</t>
  </si>
  <si>
    <t>Customer Support Executive</t>
  </si>
  <si>
    <t>Sean O'Donnell</t>
  </si>
  <si>
    <t>IT</t>
  </si>
  <si>
    <t>High School</t>
  </si>
  <si>
    <t>Hyderabad</t>
  </si>
  <si>
    <t>Data Analyst</t>
  </si>
  <si>
    <t>Brosina Hoffman</t>
  </si>
  <si>
    <t>PhD</t>
  </si>
  <si>
    <t>Andrew Allen</t>
  </si>
  <si>
    <t>Chat Support Executive</t>
  </si>
  <si>
    <t>Irene Maddox</t>
  </si>
  <si>
    <t>Finance</t>
  </si>
  <si>
    <t>Mumbai</t>
  </si>
  <si>
    <t>Accoutant</t>
  </si>
  <si>
    <t>Harold Pawlan</t>
  </si>
  <si>
    <t>Web Developer</t>
  </si>
  <si>
    <t>Pete Kriz</t>
  </si>
  <si>
    <t>Alejandro Grove</t>
  </si>
  <si>
    <t>Assis. Manager</t>
  </si>
  <si>
    <t>Zuschuss Donatelli</t>
  </si>
  <si>
    <t>Ken Black</t>
  </si>
  <si>
    <t>Marketing Executive</t>
  </si>
  <si>
    <t>Sandra Flanagan</t>
  </si>
  <si>
    <t>Backend Develper</t>
  </si>
  <si>
    <t>Emily Burns</t>
  </si>
  <si>
    <t>TL</t>
  </si>
  <si>
    <t>Eric Hoffmann</t>
  </si>
  <si>
    <t>Tracy Blumstein</t>
  </si>
  <si>
    <t>Social Media Executive</t>
  </si>
  <si>
    <t>Matt Abelman</t>
  </si>
  <si>
    <t>Gene Hale</t>
  </si>
  <si>
    <t>Steve Nguyen</t>
  </si>
  <si>
    <t>Chennai</t>
  </si>
  <si>
    <t>Linda Cazamias</t>
  </si>
  <si>
    <t>HR</t>
  </si>
  <si>
    <t>HR Manager</t>
  </si>
  <si>
    <t>Ruben Ausman</t>
  </si>
  <si>
    <t>Erin Smith</t>
  </si>
  <si>
    <t>Odella Nelson</t>
  </si>
  <si>
    <t>Patrick O'Donnell</t>
  </si>
  <si>
    <t>Lena Hernandez</t>
  </si>
  <si>
    <t>HR Executive</t>
  </si>
  <si>
    <t>Darren Powers</t>
  </si>
  <si>
    <t>Janet Molinari</t>
  </si>
  <si>
    <t>Testing Executive</t>
  </si>
  <si>
    <t>Ted Butterfield</t>
  </si>
  <si>
    <t>Kunst Miller</t>
  </si>
  <si>
    <t>Paul Stevenson</t>
  </si>
  <si>
    <t>Brendan Sweed</t>
  </si>
  <si>
    <t>Karen Daniels</t>
  </si>
  <si>
    <t>MIS Executive</t>
  </si>
  <si>
    <t>Henry MacAllister</t>
  </si>
  <si>
    <t>Joel Eaton</t>
  </si>
  <si>
    <t>Ken Brennan</t>
  </si>
  <si>
    <t>Stewart Carmichael</t>
  </si>
  <si>
    <t>Duane Noonan</t>
  </si>
  <si>
    <t>Julie Creighton</t>
  </si>
  <si>
    <t>Christopher Schild</t>
  </si>
  <si>
    <t>Paul Gonzalez</t>
  </si>
  <si>
    <t>Onboard Executive</t>
  </si>
  <si>
    <t>Gary Mitchum</t>
  </si>
  <si>
    <t>Jim Sink</t>
  </si>
  <si>
    <t>Karl Braun</t>
  </si>
  <si>
    <t>Roger Barcio</t>
  </si>
  <si>
    <t>Parhena Norris</t>
  </si>
  <si>
    <t>Katherine Ducich</t>
  </si>
  <si>
    <t>Sr. Accountant</t>
  </si>
  <si>
    <t>Elpida Rittenbach</t>
  </si>
  <si>
    <t>Hiring Manager</t>
  </si>
  <si>
    <t>Rick Bensley</t>
  </si>
  <si>
    <t>Gary Zandusky</t>
  </si>
  <si>
    <t>Lena Cacioppo</t>
  </si>
  <si>
    <t>CFO</t>
  </si>
  <si>
    <t>Janet Martin</t>
  </si>
  <si>
    <t>Sum of Monthly_Salary</t>
  </si>
  <si>
    <t>💰</t>
  </si>
  <si>
    <t>Total salary</t>
  </si>
  <si>
    <t>👥</t>
  </si>
  <si>
    <t xml:space="preserve">Avg Age </t>
  </si>
  <si>
    <t>🏬</t>
  </si>
  <si>
    <t>Num of dept</t>
  </si>
  <si>
    <t xml:space="preserve">City Num </t>
  </si>
  <si>
    <t>📌</t>
  </si>
  <si>
    <t>🧑‍💻 Employees Data Analyze</t>
  </si>
  <si>
    <t>Row Labels</t>
  </si>
  <si>
    <t>Grand Total</t>
  </si>
  <si>
    <t>Salary by Gender</t>
  </si>
  <si>
    <t>Salary by Education</t>
  </si>
  <si>
    <t>City Percentage By Salary</t>
  </si>
  <si>
    <t>Average of Monthly_Salary</t>
  </si>
  <si>
    <t>Count of Department</t>
  </si>
  <si>
    <t>Count of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</si>
</sst>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4"/>
      <color theme="1"/>
      <name val="Calibri"/>
      <family val="2"/>
      <scheme val="minor"/>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0" borderId="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5"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7"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7"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7"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7"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7"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cellStyleXfs>
  <cellXfs count="14">
    <xf numFmtId="0" fontId="0" fillId="0" borderId="0" xfId="0"/>
    <xf numFmtId="0" fontId="0" fillId="0" borderId="10" xfId="0" applyBorder="1"/>
    <xf numFmtId="1" fontId="0" fillId="0" borderId="0" xfId="0" applyNumberFormat="1"/>
    <xf numFmtId="0" fontId="5" fillId="0" borderId="10" xfId="6" applyBorder="1"/>
    <xf numFmtId="0" fontId="5" fillId="0" borderId="0" xfId="0" applyFont="1"/>
    <xf numFmtId="0" fontId="5" fillId="0" borderId="0" xfId="0" applyFont="1" applyAlignment="1">
      <alignment horizontal="center"/>
    </xf>
    <xf numFmtId="0" fontId="18" fillId="0" borderId="0" xfId="0" applyFont="1" applyAlignment="1">
      <alignment horizontal="center"/>
    </xf>
    <xf numFmtId="1" fontId="18" fillId="0" borderId="0" xfId="0" applyNumberFormat="1" applyFont="1" applyAlignment="1">
      <alignment horizontal="center"/>
    </xf>
    <xf numFmtId="0" fontId="19" fillId="0" borderId="0" xfId="0" applyFont="1"/>
    <xf numFmtId="0" fontId="0" fillId="0" borderId="0" xfId="0" pivotButton="1"/>
    <xf numFmtId="0" fontId="0" fillId="0" borderId="0" xfId="0" applyAlignment="1">
      <alignment horizontal="left"/>
    </xf>
    <xf numFmtId="9" fontId="0" fillId="0" borderId="0" xfId="0" applyNumberFormat="1"/>
    <xf numFmtId="164" fontId="0" fillId="0" borderId="0" xfId="0" applyNumberFormat="1"/>
    <xf numFmtId="0" fontId="0" fillId="0" borderId="0" xfId="0" applyNumberFormat="1"/>
  </cellXfs>
  <cellStyles count="43">
    <cellStyle name="20% - Accent1 2" xfId="20" xr:uid="{B9118EBE-A0D8-4799-96E7-E8FF6FCFED55}"/>
    <cellStyle name="20% - Accent2 2" xfId="24" xr:uid="{A95573C3-485E-4A8B-9811-9C7E8C188F51}"/>
    <cellStyle name="20% - Accent3 2" xfId="28" xr:uid="{FCF7E9E4-2ACC-4E5E-AD22-824B6D45F00F}"/>
    <cellStyle name="20% - Accent4 2" xfId="32" xr:uid="{81F1F295-7852-4DAE-B2E0-6FA75E032864}"/>
    <cellStyle name="20% - Accent5 2" xfId="36" xr:uid="{008043F8-4B13-4F4B-B04E-F91343A4EE8A}"/>
    <cellStyle name="20% - Accent6 2" xfId="40" xr:uid="{6A1AD88A-5891-4F43-8CBF-A145A8531F31}"/>
    <cellStyle name="40% - Accent1 2" xfId="21" xr:uid="{59CB7D6B-1637-4CA4-A82F-36829DB7183C}"/>
    <cellStyle name="40% - Accent2 2" xfId="25" xr:uid="{BDBCCE7A-E4CA-4778-8F4D-EF4C61591E30}"/>
    <cellStyle name="40% - Accent3 2" xfId="29" xr:uid="{2B14627C-A2D8-439A-A598-85D8BFCF3774}"/>
    <cellStyle name="40% - Accent4 2" xfId="33" xr:uid="{C5EB7226-A35C-415C-B4DA-BD4C7C349AB8}"/>
    <cellStyle name="40% - Accent5 2" xfId="37" xr:uid="{52E48A21-A31B-4AE7-86F6-3875971D2C7D}"/>
    <cellStyle name="40% - Accent6 2" xfId="41" xr:uid="{047BD42E-39AF-465E-92BB-52BC92EF56D6}"/>
    <cellStyle name="60% - Accent1 2" xfId="22" xr:uid="{5DDB3A37-8F2A-4381-A5CC-FEE89F279246}"/>
    <cellStyle name="60% - Accent2 2" xfId="26" xr:uid="{31222620-A8A2-442A-9704-F00F7E1793B5}"/>
    <cellStyle name="60% - Accent3 2" xfId="30" xr:uid="{2A8039C0-32CE-4516-95B1-FD3CDC4EA95F}"/>
    <cellStyle name="60% - Accent4 2" xfId="34" xr:uid="{E8086356-F0C7-48DD-82A4-3152CE334179}"/>
    <cellStyle name="60% - Accent5 2" xfId="38" xr:uid="{BC45C570-CCF6-4193-B81C-AE3B91A62EB3}"/>
    <cellStyle name="60% - Accent6 2" xfId="42" xr:uid="{DD38EFAC-A817-4E45-9AD4-E4F5BE4FD394}"/>
    <cellStyle name="Accent1 2" xfId="19" xr:uid="{BD68994C-0CD6-4B49-A210-05477A5300E1}"/>
    <cellStyle name="Accent2 2" xfId="23" xr:uid="{6DE73B95-C059-44B5-AEA0-8137D5FD4BDA}"/>
    <cellStyle name="Accent3 2" xfId="27" xr:uid="{DE47129F-9A20-4B88-9448-1EC83C4D0F33}"/>
    <cellStyle name="Accent4 2" xfId="31" xr:uid="{9F1A0FC7-0AAB-424C-9D56-C1A3E394FBC0}"/>
    <cellStyle name="Accent5 2" xfId="35" xr:uid="{72097487-0909-42DC-8E05-E054F250B538}"/>
    <cellStyle name="Accent6 2" xfId="39" xr:uid="{EA30B821-FFD3-4CBF-807C-FE3E6B585C90}"/>
    <cellStyle name="Bad 2" xfId="8" xr:uid="{841D6B8D-58E1-4760-9B10-1E7044D50468}"/>
    <cellStyle name="Calculation 2" xfId="12" xr:uid="{06088F64-CAA0-4D24-ADAC-BE6506316262}"/>
    <cellStyle name="Check Cell 2" xfId="14" xr:uid="{65A9966A-8D37-44D8-8B11-5B6C46690E83}"/>
    <cellStyle name="Explanatory Text 2" xfId="17" xr:uid="{0569CDDC-8915-4CF3-B430-A6C2A2E5C5CF}"/>
    <cellStyle name="Good 2" xfId="7" xr:uid="{1A27BAC8-25B9-499C-BB2D-C9C777825583}"/>
    <cellStyle name="Heading 1" xfId="2" builtinId="16" customBuiltin="1"/>
    <cellStyle name="Heading 2" xfId="3" builtinId="17" customBuiltin="1"/>
    <cellStyle name="Heading 3" xfId="4" builtinId="18" customBuiltin="1"/>
    <cellStyle name="Heading 4" xfId="5" builtinId="19" customBuiltin="1"/>
    <cellStyle name="Input 2" xfId="10" xr:uid="{2A42B154-FCA9-4738-9781-D41D289727D5}"/>
    <cellStyle name="Linked Cell 2" xfId="13" xr:uid="{2F967363-B4C6-4888-AD58-CE45AC0B0A57}"/>
    <cellStyle name="Neutral 2" xfId="9" xr:uid="{5497C905-419F-46C1-BD24-825AE706A0FE}"/>
    <cellStyle name="Normal" xfId="0" builtinId="0"/>
    <cellStyle name="Normal 2" xfId="6" xr:uid="{D5BC4837-78B0-4201-ACEC-9874858ECCF6}"/>
    <cellStyle name="Note 2" xfId="16" xr:uid="{ED220800-2F85-44A4-8716-FE8FAD5B2C5B}"/>
    <cellStyle name="Output 2" xfId="11" xr:uid="{DB208C64-E960-494D-9531-BF3636A89787}"/>
    <cellStyle name="Title" xfId="1" builtinId="15" customBuiltin="1"/>
    <cellStyle name="Total 2" xfId="18" xr:uid="{D88987E8-BE1E-40B9-BD6A-FF2BC3D4A6DF}"/>
    <cellStyle name="Warning Text 2" xfId="15" xr:uid="{A1509C22-A048-40FA-867B-744DD6C3A693}"/>
  </cellStyles>
  <dxfs count="104">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[Employee_Salary_Dashboard.xlsx]Sheet5!PivotTable1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Salary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tint val="77000"/>
            </a:schemeClr>
          </a:solidFill>
          <a:ln w="19050">
            <a:solidFill>
              <a:schemeClr val="lt1"/>
            </a:solidFill>
          </a:ln>
          <a:effectLst/>
        </c:spPr>
      </c:pivotFmt>
      <c:pivotFmt>
        <c:idx val="6"/>
        <c:spPr>
          <a:solidFill>
            <a:schemeClr val="accent6">
              <a:shade val="76000"/>
            </a:schemeClr>
          </a:solidFill>
          <a:ln w="19050">
            <a:solidFill>
              <a:schemeClr val="lt1"/>
            </a:solidFill>
          </a:ln>
          <a:effectLst/>
        </c:spPr>
      </c:pivotFmt>
    </c:pivotFmts>
    <c:plotArea>
      <c:layout/>
      <c:pieChart>
        <c:varyColors val="1"/>
        <c:ser>
          <c:idx val="0"/>
          <c:order val="0"/>
          <c:tx>
            <c:strRef>
              <c:f>Sheet5!$B$6</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55DE-4823-811D-1DA0E3AF7708}"/>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55DE-4823-811D-1DA0E3AF7708}"/>
              </c:ext>
            </c:extLst>
          </c:dPt>
          <c:cat>
            <c:strRef>
              <c:f>Sheet5!$A$7:$A$9</c:f>
              <c:strCache>
                <c:ptCount val="2"/>
                <c:pt idx="0">
                  <c:v>Female</c:v>
                </c:pt>
                <c:pt idx="1">
                  <c:v>Male</c:v>
                </c:pt>
              </c:strCache>
            </c:strRef>
          </c:cat>
          <c:val>
            <c:numRef>
              <c:f>Sheet5!$B$7:$B$9</c:f>
              <c:numCache>
                <c:formatCode>General</c:formatCode>
                <c:ptCount val="2"/>
                <c:pt idx="0">
                  <c:v>2357267</c:v>
                </c:pt>
                <c:pt idx="1">
                  <c:v>1757173</c:v>
                </c:pt>
              </c:numCache>
            </c:numRef>
          </c:val>
          <c:extLst>
            <c:ext xmlns:c16="http://schemas.microsoft.com/office/drawing/2014/chart" uri="{C3380CC4-5D6E-409C-BE32-E72D297353CC}">
              <c16:uniqueId val="{00000004-55DE-4823-811D-1DA0E3AF770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[Employee_Salary_Dashboard.xlsx]Sheet5!PivotTable3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Salary By Education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doughnutChart>
        <c:varyColors val="1"/>
        <c:ser>
          <c:idx val="0"/>
          <c:order val="0"/>
          <c:tx>
            <c:strRef>
              <c:f>Sheet5!$B$11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B5C-4D8D-9F41-28B54999BD9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B5C-4D8D-9F41-28B54999BD9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B5C-4D8D-9F41-28B54999BD9B}"/>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DB5C-4D8D-9F41-28B54999BD9B}"/>
              </c:ext>
            </c:extLst>
          </c:dPt>
          <c:cat>
            <c:strRef>
              <c:f>Sheet5!$A$12:$A$16</c:f>
              <c:strCache>
                <c:ptCount val="4"/>
                <c:pt idx="0">
                  <c:v>Bachelor</c:v>
                </c:pt>
                <c:pt idx="1">
                  <c:v>High School</c:v>
                </c:pt>
                <c:pt idx="2">
                  <c:v>Master</c:v>
                </c:pt>
                <c:pt idx="3">
                  <c:v>PhD</c:v>
                </c:pt>
              </c:strCache>
            </c:strRef>
          </c:cat>
          <c:val>
            <c:numRef>
              <c:f>Sheet5!$B$12:$B$16</c:f>
              <c:numCache>
                <c:formatCode>General</c:formatCode>
                <c:ptCount val="4"/>
                <c:pt idx="0">
                  <c:v>741976</c:v>
                </c:pt>
                <c:pt idx="1">
                  <c:v>1004117</c:v>
                </c:pt>
                <c:pt idx="2">
                  <c:v>1638906</c:v>
                </c:pt>
                <c:pt idx="3">
                  <c:v>729441</c:v>
                </c:pt>
              </c:numCache>
            </c:numRef>
          </c:val>
          <c:extLst>
            <c:ext xmlns:c16="http://schemas.microsoft.com/office/drawing/2014/chart" uri="{C3380CC4-5D6E-409C-BE32-E72D297353CC}">
              <c16:uniqueId val="{00000008-DB5C-4D8D-9F41-28B54999BD9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[Employee_Salary_Dashboard.xlsx]Sheet5!PivotTable5</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City Percentage By Salary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Sheet5!$B$18</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Sheet5!$A$19:$A$24</c:f>
              <c:strCache>
                <c:ptCount val="5"/>
                <c:pt idx="0">
                  <c:v>Bangalore</c:v>
                </c:pt>
                <c:pt idx="1">
                  <c:v>Chennai</c:v>
                </c:pt>
                <c:pt idx="2">
                  <c:v>Delhi</c:v>
                </c:pt>
                <c:pt idx="3">
                  <c:v>Hyderabad</c:v>
                </c:pt>
                <c:pt idx="4">
                  <c:v>Mumbai</c:v>
                </c:pt>
              </c:strCache>
            </c:strRef>
          </c:cat>
          <c:val>
            <c:numRef>
              <c:f>Sheet5!$B$19:$B$24</c:f>
              <c:numCache>
                <c:formatCode>0%</c:formatCode>
                <c:ptCount val="5"/>
                <c:pt idx="0">
                  <c:v>1089045</c:v>
                </c:pt>
                <c:pt idx="1">
                  <c:v>286898</c:v>
                </c:pt>
                <c:pt idx="2">
                  <c:v>1399987</c:v>
                </c:pt>
                <c:pt idx="3">
                  <c:v>809788</c:v>
                </c:pt>
                <c:pt idx="4">
                  <c:v>528722</c:v>
                </c:pt>
              </c:numCache>
            </c:numRef>
          </c:val>
          <c:extLst>
            <c:ext xmlns:c16="http://schemas.microsoft.com/office/drawing/2014/chart" uri="{C3380CC4-5D6E-409C-BE32-E72D297353CC}">
              <c16:uniqueId val="{00000000-AB0D-4056-B64E-9E2BB32EE8AD}"/>
            </c:ext>
          </c:extLst>
        </c:ser>
        <c:dLbls>
          <c:showLegendKey val="0"/>
          <c:showVal val="0"/>
          <c:showCatName val="0"/>
          <c:showSerName val="0"/>
          <c:showPercent val="0"/>
          <c:showBubbleSize val="0"/>
        </c:dLbls>
        <c:gapWidth val="355"/>
        <c:overlap val="-70"/>
        <c:axId val="1061013951"/>
        <c:axId val="837596687"/>
      </c:barChart>
      <c:catAx>
        <c:axId val="106101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596687"/>
        <c:crosses val="autoZero"/>
        <c:auto val="1"/>
        <c:lblAlgn val="ctr"/>
        <c:lblOffset val="100"/>
        <c:noMultiLvlLbl val="0"/>
      </c:catAx>
      <c:valAx>
        <c:axId val="83759668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01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[Employee_Salary_Dashboard.xlsx]Sheet5!PivotTable6</c:name>
    <c:fmtId val="13"/>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b="1"/>
              <a:t>Top 10 Roles By Salary </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Sheet5!$B$26</c:f>
              <c:strCache>
                <c:ptCount val="1"/>
                <c:pt idx="0">
                  <c:v>Total</c:v>
                </c:pt>
              </c:strCache>
            </c:strRef>
          </c:tx>
          <c:spPr>
            <a:solidFill>
              <a:schemeClr val="accent6"/>
            </a:solidFill>
            <a:ln>
              <a:noFill/>
            </a:ln>
            <a:effectLst/>
          </c:spPr>
          <c:invertIfNegative val="0"/>
          <c:cat>
            <c:strRef>
              <c:f>Sheet5!$A$27:$A$37</c:f>
              <c:strCache>
                <c:ptCount val="10"/>
                <c:pt idx="0">
                  <c:v>Backend Develper</c:v>
                </c:pt>
                <c:pt idx="1">
                  <c:v>Chat Support Executive</c:v>
                </c:pt>
                <c:pt idx="2">
                  <c:v>Data Analyst</c:v>
                </c:pt>
                <c:pt idx="3">
                  <c:v>Hiring Manager</c:v>
                </c:pt>
                <c:pt idx="4">
                  <c:v>HR Executive</c:v>
                </c:pt>
                <c:pt idx="5">
                  <c:v>Marketing Executive</c:v>
                </c:pt>
                <c:pt idx="6">
                  <c:v>Research Director</c:v>
                </c:pt>
                <c:pt idx="7">
                  <c:v>Sales Executive</c:v>
                </c:pt>
                <c:pt idx="8">
                  <c:v>Social Media Executive</c:v>
                </c:pt>
                <c:pt idx="9">
                  <c:v>Web Developer</c:v>
                </c:pt>
              </c:strCache>
            </c:strRef>
          </c:cat>
          <c:val>
            <c:numRef>
              <c:f>Sheet5!$B$27:$B$37</c:f>
              <c:numCache>
                <c:formatCode>0</c:formatCode>
                <c:ptCount val="10"/>
                <c:pt idx="0">
                  <c:v>104909</c:v>
                </c:pt>
                <c:pt idx="1">
                  <c:v>140786.5</c:v>
                </c:pt>
                <c:pt idx="2">
                  <c:v>94362</c:v>
                </c:pt>
                <c:pt idx="3">
                  <c:v>88208</c:v>
                </c:pt>
                <c:pt idx="4">
                  <c:v>110620.33333333333</c:v>
                </c:pt>
                <c:pt idx="5">
                  <c:v>110401.66666666667</c:v>
                </c:pt>
                <c:pt idx="6">
                  <c:v>122888</c:v>
                </c:pt>
                <c:pt idx="7">
                  <c:v>87209</c:v>
                </c:pt>
                <c:pt idx="8">
                  <c:v>98587</c:v>
                </c:pt>
                <c:pt idx="9">
                  <c:v>94333</c:v>
                </c:pt>
              </c:numCache>
            </c:numRef>
          </c:val>
          <c:extLst>
            <c:ext xmlns:c16="http://schemas.microsoft.com/office/drawing/2014/chart" uri="{C3380CC4-5D6E-409C-BE32-E72D297353CC}">
              <c16:uniqueId val="{00000000-E600-4DFA-A587-666D96667A8B}"/>
            </c:ext>
          </c:extLst>
        </c:ser>
        <c:dLbls>
          <c:showLegendKey val="0"/>
          <c:showVal val="0"/>
          <c:showCatName val="0"/>
          <c:showSerName val="0"/>
          <c:showPercent val="0"/>
          <c:showBubbleSize val="0"/>
        </c:dLbls>
        <c:gapWidth val="269"/>
        <c:overlap val="-48"/>
        <c:axId val="1064890719"/>
        <c:axId val="414899503"/>
      </c:barChart>
      <c:catAx>
        <c:axId val="1064890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14899503"/>
        <c:crosses val="autoZero"/>
        <c:auto val="1"/>
        <c:lblAlgn val="ctr"/>
        <c:lblOffset val="100"/>
        <c:noMultiLvlLbl val="0"/>
      </c:catAx>
      <c:valAx>
        <c:axId val="41489950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89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[Employee_Salary_Dashboard.xlsx]Sheet5!PivotTable7</c:name>
    <c:fmtId val="17"/>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IN" b="1"/>
              <a:t>Total Salary By</a:t>
            </a:r>
            <a:r>
              <a:rPr lang="en-IN" b="1" baseline="0"/>
              <a:t> </a:t>
            </a:r>
            <a:r>
              <a:rPr lang="en-IN" sz="1800" b="1"/>
              <a:t>Department</a:t>
            </a:r>
            <a:endParaRPr lang="en-IN" b="1"/>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Sheet5!$B$39</c:f>
              <c:strCache>
                <c:ptCount val="1"/>
                <c:pt idx="0">
                  <c:v>Total</c:v>
                </c:pt>
              </c:strCache>
            </c:strRef>
          </c:tx>
          <c:spPr>
            <a:solidFill>
              <a:schemeClr val="accent6"/>
            </a:solidFill>
            <a:ln>
              <a:noFill/>
            </a:ln>
            <a:effectLst/>
          </c:spPr>
          <c:invertIfNegative val="0"/>
          <c:cat>
            <c:strRef>
              <c:f>Sheet5!$A$40:$A$45</c:f>
              <c:strCache>
                <c:ptCount val="5"/>
                <c:pt idx="0">
                  <c:v>Finance</c:v>
                </c:pt>
                <c:pt idx="1">
                  <c:v>HR</c:v>
                </c:pt>
                <c:pt idx="2">
                  <c:v>IT</c:v>
                </c:pt>
                <c:pt idx="3">
                  <c:v>Marketing</c:v>
                </c:pt>
                <c:pt idx="4">
                  <c:v>Operations</c:v>
                </c:pt>
              </c:strCache>
            </c:strRef>
          </c:cat>
          <c:val>
            <c:numRef>
              <c:f>Sheet5!$B$40:$B$45</c:f>
              <c:numCache>
                <c:formatCode>0.0</c:formatCode>
                <c:ptCount val="5"/>
                <c:pt idx="0">
                  <c:v>672619</c:v>
                </c:pt>
                <c:pt idx="1">
                  <c:v>580616</c:v>
                </c:pt>
                <c:pt idx="2">
                  <c:v>765205</c:v>
                </c:pt>
                <c:pt idx="3">
                  <c:v>1253601</c:v>
                </c:pt>
                <c:pt idx="4">
                  <c:v>842399</c:v>
                </c:pt>
              </c:numCache>
            </c:numRef>
          </c:val>
          <c:extLst>
            <c:ext xmlns:c16="http://schemas.microsoft.com/office/drawing/2014/chart" uri="{C3380CC4-5D6E-409C-BE32-E72D297353CC}">
              <c16:uniqueId val="{00000000-2669-4CAD-B3C7-AA605D2CCF36}"/>
            </c:ext>
          </c:extLst>
        </c:ser>
        <c:dLbls>
          <c:showLegendKey val="0"/>
          <c:showVal val="0"/>
          <c:showCatName val="0"/>
          <c:showSerName val="0"/>
          <c:showPercent val="0"/>
          <c:showBubbleSize val="0"/>
        </c:dLbls>
        <c:gapWidth val="199"/>
        <c:axId val="875500879"/>
        <c:axId val="837598607"/>
      </c:barChart>
      <c:catAx>
        <c:axId val="87550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37598607"/>
        <c:crosses val="autoZero"/>
        <c:auto val="1"/>
        <c:lblAlgn val="ctr"/>
        <c:lblOffset val="100"/>
        <c:noMultiLvlLbl val="0"/>
      </c:catAx>
      <c:valAx>
        <c:axId val="83759860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50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45600</xdr:colOff>
      <xdr:row>33</xdr:row>
      <xdr:rowOff>152400</xdr:rowOff>
    </xdr:to>
    <xdr:grpSp>
      <xdr:nvGrpSpPr>
        <xdr:cNvPr id="28" name="Group 27">
          <a:extLst>
            <a:ext uri="{FF2B5EF4-FFF2-40B4-BE49-F238E27FC236}">
              <a16:creationId xmlns:a16="http://schemas.microsoft.com/office/drawing/2014/main" id="{9B37BB4F-78EB-7BA0-2B0D-3F2BE2F498DF}"/>
            </a:ext>
          </a:extLst>
        </xdr:cNvPr>
        <xdr:cNvGrpSpPr/>
      </xdr:nvGrpSpPr>
      <xdr:grpSpPr>
        <a:xfrm>
          <a:off x="0" y="0"/>
          <a:ext cx="11628000" cy="6299200"/>
          <a:chOff x="0" y="0"/>
          <a:chExt cx="11673900" cy="6187440"/>
        </a:xfrm>
      </xdr:grpSpPr>
      <xdr:grpSp>
        <xdr:nvGrpSpPr>
          <xdr:cNvPr id="10" name="Group 9">
            <a:extLst>
              <a:ext uri="{FF2B5EF4-FFF2-40B4-BE49-F238E27FC236}">
                <a16:creationId xmlns:a16="http://schemas.microsoft.com/office/drawing/2014/main" id="{DF3473DC-CE43-2F14-6FA0-AC02B7BD67F1}"/>
              </a:ext>
            </a:extLst>
          </xdr:cNvPr>
          <xdr:cNvGrpSpPr/>
        </xdr:nvGrpSpPr>
        <xdr:grpSpPr>
          <a:xfrm>
            <a:off x="0" y="0"/>
            <a:ext cx="11673900" cy="6187440"/>
            <a:chOff x="0" y="0"/>
            <a:chExt cx="11673900" cy="6187440"/>
          </a:xfrm>
        </xdr:grpSpPr>
        <xdr:sp macro="" textlink="">
          <xdr:nvSpPr>
            <xdr:cNvPr id="3" name="Rectangle 2">
              <a:extLst>
                <a:ext uri="{FF2B5EF4-FFF2-40B4-BE49-F238E27FC236}">
                  <a16:creationId xmlns:a16="http://schemas.microsoft.com/office/drawing/2014/main" id="{BE52E592-1541-6B22-AED9-630F79EBB7C5}"/>
                </a:ext>
              </a:extLst>
            </xdr:cNvPr>
            <xdr:cNvSpPr/>
          </xdr:nvSpPr>
          <xdr:spPr>
            <a:xfrm>
              <a:off x="0" y="0"/>
              <a:ext cx="11673900" cy="618744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006D4C3B-953F-980B-0622-B51D78386A46}"/>
                </a:ext>
              </a:extLst>
            </xdr:cNvPr>
            <xdr:cNvSpPr/>
          </xdr:nvSpPr>
          <xdr:spPr>
            <a:xfrm>
              <a:off x="53340" y="556260"/>
              <a:ext cx="11544300" cy="1188720"/>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sp macro="" textlink="">
          <xdr:nvSpPr>
            <xdr:cNvPr id="6" name="Rectangle 5">
              <a:extLst>
                <a:ext uri="{FF2B5EF4-FFF2-40B4-BE49-F238E27FC236}">
                  <a16:creationId xmlns:a16="http://schemas.microsoft.com/office/drawing/2014/main" id="{5120465A-4089-21A6-9E07-292F686AD346}"/>
                </a:ext>
              </a:extLst>
            </xdr:cNvPr>
            <xdr:cNvSpPr/>
          </xdr:nvSpPr>
          <xdr:spPr>
            <a:xfrm>
              <a:off x="60960" y="1813560"/>
              <a:ext cx="1592580" cy="4320540"/>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grpSp>
      <xdr:sp macro="" textlink="Sheet5!D3">
        <xdr:nvSpPr>
          <xdr:cNvPr id="2" name="TextBox 1">
            <a:extLst>
              <a:ext uri="{FF2B5EF4-FFF2-40B4-BE49-F238E27FC236}">
                <a16:creationId xmlns:a16="http://schemas.microsoft.com/office/drawing/2014/main" id="{3E7E154E-3C6D-3FE5-72AA-7B8D939C4CBD}"/>
              </a:ext>
            </a:extLst>
          </xdr:cNvPr>
          <xdr:cNvSpPr txBox="1"/>
        </xdr:nvSpPr>
        <xdr:spPr>
          <a:xfrm>
            <a:off x="266700" y="1844040"/>
            <a:ext cx="11353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4A681C0-451E-4DD0-8529-7BFF97AED7F3}" type="TxLink">
              <a:rPr lang="en-US" sz="1600" b="1" i="0" u="none" strike="noStrike">
                <a:solidFill>
                  <a:srgbClr val="000000"/>
                </a:solidFill>
                <a:latin typeface="Calibri"/>
                <a:ea typeface="Calibri"/>
                <a:cs typeface="Calibri"/>
              </a:rPr>
              <a:pPr marL="0" indent="0" algn="ctr"/>
              <a:t>💰</a:t>
            </a:fld>
            <a:endParaRPr lang="en-IN" sz="1600" b="1" i="0" u="none" strike="noStrike">
              <a:solidFill>
                <a:srgbClr val="000000"/>
              </a:solidFill>
              <a:latin typeface="Calibri"/>
              <a:ea typeface="Calibri"/>
              <a:cs typeface="Calibri"/>
            </a:endParaRPr>
          </a:p>
        </xdr:txBody>
      </xdr:sp>
    </xdr:grpSp>
    <xdr:clientData/>
  </xdr:twoCellAnchor>
  <xdr:twoCellAnchor>
    <xdr:from>
      <xdr:col>0</xdr:col>
      <xdr:colOff>121920</xdr:colOff>
      <xdr:row>11</xdr:row>
      <xdr:rowOff>152400</xdr:rowOff>
    </xdr:from>
    <xdr:to>
      <xdr:col>2</xdr:col>
      <xdr:colOff>320040</xdr:colOff>
      <xdr:row>13</xdr:row>
      <xdr:rowOff>76200</xdr:rowOff>
    </xdr:to>
    <xdr:sp macro="" textlink="Sheet5!D4">
      <xdr:nvSpPr>
        <xdr:cNvPr id="4" name="TextBox 3">
          <a:extLst>
            <a:ext uri="{FF2B5EF4-FFF2-40B4-BE49-F238E27FC236}">
              <a16:creationId xmlns:a16="http://schemas.microsoft.com/office/drawing/2014/main" id="{320A1EAD-C72A-47CE-85B6-03EF82A68ADE}"/>
            </a:ext>
          </a:extLst>
        </xdr:cNvPr>
        <xdr:cNvSpPr txBox="1"/>
      </xdr:nvSpPr>
      <xdr:spPr>
        <a:xfrm>
          <a:off x="121920" y="2164080"/>
          <a:ext cx="14173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F90EE49-0C11-4BDA-8C68-B30241F3AD3E}" type="TxLink">
            <a:rPr lang="en-US" sz="1600" b="1" i="0" u="none" strike="noStrike">
              <a:solidFill>
                <a:srgbClr val="000000"/>
              </a:solidFill>
              <a:latin typeface="Calibri"/>
              <a:ea typeface="Calibri"/>
              <a:cs typeface="Calibri"/>
            </a:rPr>
            <a:pPr marL="0" indent="0" algn="ctr"/>
            <a:t>Total salary</a:t>
          </a:fld>
          <a:endParaRPr lang="en-IN" sz="1600" b="1" i="0" u="none" strike="noStrike">
            <a:solidFill>
              <a:srgbClr val="000000"/>
            </a:solidFill>
            <a:latin typeface="Calibri"/>
            <a:ea typeface="Calibri"/>
            <a:cs typeface="Calibri"/>
          </a:endParaRPr>
        </a:p>
      </xdr:txBody>
    </xdr:sp>
    <xdr:clientData/>
  </xdr:twoCellAnchor>
  <xdr:twoCellAnchor>
    <xdr:from>
      <xdr:col>0</xdr:col>
      <xdr:colOff>251460</xdr:colOff>
      <xdr:row>13</xdr:row>
      <xdr:rowOff>91440</xdr:rowOff>
    </xdr:from>
    <xdr:to>
      <xdr:col>2</xdr:col>
      <xdr:colOff>167640</xdr:colOff>
      <xdr:row>15</xdr:row>
      <xdr:rowOff>15240</xdr:rowOff>
    </xdr:to>
    <xdr:sp macro="" textlink="Sheet1!G4">
      <xdr:nvSpPr>
        <xdr:cNvPr id="7" name="TextBox 6">
          <a:extLst>
            <a:ext uri="{FF2B5EF4-FFF2-40B4-BE49-F238E27FC236}">
              <a16:creationId xmlns:a16="http://schemas.microsoft.com/office/drawing/2014/main" id="{350FB1B8-BC42-410C-BE9C-07FF15B79EBB}"/>
            </a:ext>
          </a:extLst>
        </xdr:cNvPr>
        <xdr:cNvSpPr txBox="1"/>
      </xdr:nvSpPr>
      <xdr:spPr>
        <a:xfrm>
          <a:off x="251460" y="2468880"/>
          <a:ext cx="11353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9860CD-887A-4690-8529-BB6B430D0FF1}" type="TxLink">
            <a:rPr lang="en-US" sz="1600" b="1" i="0" u="none" strike="noStrike">
              <a:solidFill>
                <a:srgbClr val="000000"/>
              </a:solidFill>
              <a:latin typeface="Calibri"/>
              <a:ea typeface="Calibri"/>
              <a:cs typeface="Calibri"/>
            </a:rPr>
            <a:pPr marL="0" indent="0" algn="ctr"/>
            <a:t>4114440</a:t>
          </a:fld>
          <a:endParaRPr lang="en-US" sz="1600" b="1" i="0" u="none" strike="noStrike">
            <a:solidFill>
              <a:srgbClr val="000000"/>
            </a:solidFill>
            <a:latin typeface="Calibri"/>
            <a:ea typeface="Calibri"/>
            <a:cs typeface="Calibri"/>
          </a:endParaRPr>
        </a:p>
      </xdr:txBody>
    </xdr:sp>
    <xdr:clientData/>
  </xdr:twoCellAnchor>
  <xdr:twoCellAnchor>
    <xdr:from>
      <xdr:col>0</xdr:col>
      <xdr:colOff>266700</xdr:colOff>
      <xdr:row>16</xdr:row>
      <xdr:rowOff>30480</xdr:rowOff>
    </xdr:from>
    <xdr:to>
      <xdr:col>2</xdr:col>
      <xdr:colOff>182880</xdr:colOff>
      <xdr:row>17</xdr:row>
      <xdr:rowOff>137160</xdr:rowOff>
    </xdr:to>
    <xdr:sp macro="" textlink="Sheet5!E3">
      <xdr:nvSpPr>
        <xdr:cNvPr id="8" name="TextBox 7">
          <a:extLst>
            <a:ext uri="{FF2B5EF4-FFF2-40B4-BE49-F238E27FC236}">
              <a16:creationId xmlns:a16="http://schemas.microsoft.com/office/drawing/2014/main" id="{90777971-781E-464D-A0A3-6B686623D395}"/>
            </a:ext>
          </a:extLst>
        </xdr:cNvPr>
        <xdr:cNvSpPr txBox="1"/>
      </xdr:nvSpPr>
      <xdr:spPr>
        <a:xfrm>
          <a:off x="266700" y="2956560"/>
          <a:ext cx="11353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FD6780B-4C40-473F-9BAE-8C1756C75C31}" type="TxLink">
            <a:rPr lang="en-US" sz="1600" b="1" i="0" u="none" strike="noStrike">
              <a:solidFill>
                <a:srgbClr val="000000"/>
              </a:solidFill>
              <a:latin typeface="Calibri"/>
              <a:ea typeface="Calibri"/>
              <a:cs typeface="Calibri"/>
            </a:rPr>
            <a:pPr marL="0" indent="0" algn="ctr"/>
            <a:t>👥</a:t>
          </a:fld>
          <a:endParaRPr lang="en-IN" sz="1600" b="1" i="0" u="none" strike="noStrike">
            <a:solidFill>
              <a:srgbClr val="000000"/>
            </a:solidFill>
            <a:latin typeface="Calibri"/>
            <a:ea typeface="Calibri"/>
            <a:cs typeface="Calibri"/>
          </a:endParaRPr>
        </a:p>
      </xdr:txBody>
    </xdr:sp>
    <xdr:clientData/>
  </xdr:twoCellAnchor>
  <xdr:twoCellAnchor>
    <xdr:from>
      <xdr:col>0</xdr:col>
      <xdr:colOff>144780</xdr:colOff>
      <xdr:row>17</xdr:row>
      <xdr:rowOff>167640</xdr:rowOff>
    </xdr:from>
    <xdr:to>
      <xdr:col>2</xdr:col>
      <xdr:colOff>327660</xdr:colOff>
      <xdr:row>19</xdr:row>
      <xdr:rowOff>91440</xdr:rowOff>
    </xdr:to>
    <xdr:sp macro="" textlink="Sheet5!E4">
      <xdr:nvSpPr>
        <xdr:cNvPr id="9" name="TextBox 8">
          <a:extLst>
            <a:ext uri="{FF2B5EF4-FFF2-40B4-BE49-F238E27FC236}">
              <a16:creationId xmlns:a16="http://schemas.microsoft.com/office/drawing/2014/main" id="{610DBBAF-1C16-45E6-9815-1C378E977439}"/>
            </a:ext>
          </a:extLst>
        </xdr:cNvPr>
        <xdr:cNvSpPr txBox="1"/>
      </xdr:nvSpPr>
      <xdr:spPr>
        <a:xfrm>
          <a:off x="144780" y="3276600"/>
          <a:ext cx="14020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43A0F67-AD61-4B53-AAC7-813C081B316F}" type="TxLink">
            <a:rPr lang="en-US" sz="1600" b="1" i="0" u="none" strike="noStrike">
              <a:solidFill>
                <a:srgbClr val="000000"/>
              </a:solidFill>
              <a:latin typeface="Calibri"/>
              <a:ea typeface="Calibri"/>
              <a:cs typeface="Calibri"/>
            </a:rPr>
            <a:pPr marL="0" indent="0" algn="ctr"/>
            <a:t>Avg Age </a:t>
          </a:fld>
          <a:endParaRPr lang="en-IN" sz="1600" b="1" i="0" u="none" strike="noStrike">
            <a:solidFill>
              <a:srgbClr val="000000"/>
            </a:solidFill>
            <a:latin typeface="Calibri"/>
            <a:ea typeface="Calibri"/>
            <a:cs typeface="Calibri"/>
          </a:endParaRPr>
        </a:p>
      </xdr:txBody>
    </xdr:sp>
    <xdr:clientData/>
  </xdr:twoCellAnchor>
  <xdr:twoCellAnchor>
    <xdr:from>
      <xdr:col>0</xdr:col>
      <xdr:colOff>243840</xdr:colOff>
      <xdr:row>19</xdr:row>
      <xdr:rowOff>114300</xdr:rowOff>
    </xdr:from>
    <xdr:to>
      <xdr:col>2</xdr:col>
      <xdr:colOff>160020</xdr:colOff>
      <xdr:row>21</xdr:row>
      <xdr:rowOff>38100</xdr:rowOff>
    </xdr:to>
    <xdr:sp macro="" textlink="Sheet1!H4">
      <xdr:nvSpPr>
        <xdr:cNvPr id="11" name="TextBox 10">
          <a:extLst>
            <a:ext uri="{FF2B5EF4-FFF2-40B4-BE49-F238E27FC236}">
              <a16:creationId xmlns:a16="http://schemas.microsoft.com/office/drawing/2014/main" id="{1B806799-A0FB-4111-AE9C-64F9EC5C207A}"/>
            </a:ext>
          </a:extLst>
        </xdr:cNvPr>
        <xdr:cNvSpPr txBox="1"/>
      </xdr:nvSpPr>
      <xdr:spPr>
        <a:xfrm>
          <a:off x="243840" y="3589020"/>
          <a:ext cx="11353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78319D3-B260-4EC9-B8AA-491FAF260879}" type="TxLink">
            <a:rPr lang="en-US" sz="1600" b="1" i="0" u="none" strike="noStrike">
              <a:solidFill>
                <a:srgbClr val="000000"/>
              </a:solidFill>
              <a:latin typeface="Calibri"/>
              <a:ea typeface="Calibri"/>
              <a:cs typeface="Calibri"/>
            </a:rPr>
            <a:pPr marL="0" indent="0" algn="ctr"/>
            <a:t>39.76</a:t>
          </a:fld>
          <a:endParaRPr lang="en-IN" sz="1600" b="1" i="0" u="none" strike="noStrike">
            <a:solidFill>
              <a:srgbClr val="000000"/>
            </a:solidFill>
            <a:latin typeface="Calibri"/>
            <a:ea typeface="Calibri"/>
            <a:cs typeface="Calibri"/>
          </a:endParaRPr>
        </a:p>
      </xdr:txBody>
    </xdr:sp>
    <xdr:clientData/>
  </xdr:twoCellAnchor>
  <xdr:twoCellAnchor>
    <xdr:from>
      <xdr:col>0</xdr:col>
      <xdr:colOff>243840</xdr:colOff>
      <xdr:row>22</xdr:row>
      <xdr:rowOff>22860</xdr:rowOff>
    </xdr:from>
    <xdr:to>
      <xdr:col>2</xdr:col>
      <xdr:colOff>160020</xdr:colOff>
      <xdr:row>23</xdr:row>
      <xdr:rowOff>129540</xdr:rowOff>
    </xdr:to>
    <xdr:sp macro="" textlink="Sheet5!F3">
      <xdr:nvSpPr>
        <xdr:cNvPr id="12" name="TextBox 11">
          <a:extLst>
            <a:ext uri="{FF2B5EF4-FFF2-40B4-BE49-F238E27FC236}">
              <a16:creationId xmlns:a16="http://schemas.microsoft.com/office/drawing/2014/main" id="{06D00FE9-C2B4-415C-88A9-D41CCED2A39C}"/>
            </a:ext>
          </a:extLst>
        </xdr:cNvPr>
        <xdr:cNvSpPr txBox="1"/>
      </xdr:nvSpPr>
      <xdr:spPr>
        <a:xfrm>
          <a:off x="243840" y="4046220"/>
          <a:ext cx="11353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1A2C5A5-F238-494D-AA2E-E5CEDB6C4DDE}" type="TxLink">
            <a:rPr lang="en-US" sz="1600" b="1" i="0" u="none" strike="noStrike">
              <a:solidFill>
                <a:srgbClr val="000000"/>
              </a:solidFill>
              <a:latin typeface="Calibri"/>
              <a:ea typeface="Calibri"/>
              <a:cs typeface="Calibri"/>
            </a:rPr>
            <a:pPr marL="0" indent="0" algn="ctr"/>
            <a:t>🏬</a:t>
          </a:fld>
          <a:endParaRPr lang="en-IN" sz="1600" b="1" i="0" u="none" strike="noStrike">
            <a:solidFill>
              <a:srgbClr val="000000"/>
            </a:solidFill>
            <a:latin typeface="Calibri"/>
            <a:ea typeface="Calibri"/>
            <a:cs typeface="Calibri"/>
          </a:endParaRPr>
        </a:p>
      </xdr:txBody>
    </xdr:sp>
    <xdr:clientData/>
  </xdr:twoCellAnchor>
  <xdr:twoCellAnchor>
    <xdr:from>
      <xdr:col>0</xdr:col>
      <xdr:colOff>67733</xdr:colOff>
      <xdr:row>23</xdr:row>
      <xdr:rowOff>160020</xdr:rowOff>
    </xdr:from>
    <xdr:to>
      <xdr:col>2</xdr:col>
      <xdr:colOff>397933</xdr:colOff>
      <xdr:row>26</xdr:row>
      <xdr:rowOff>135467</xdr:rowOff>
    </xdr:to>
    <xdr:sp macro="" textlink="">
      <xdr:nvSpPr>
        <xdr:cNvPr id="13" name="TextBox 12">
          <a:extLst>
            <a:ext uri="{FF2B5EF4-FFF2-40B4-BE49-F238E27FC236}">
              <a16:creationId xmlns:a16="http://schemas.microsoft.com/office/drawing/2014/main" id="{F737C591-964E-4514-89B8-7AC7E2D95559}"/>
            </a:ext>
          </a:extLst>
        </xdr:cNvPr>
        <xdr:cNvSpPr txBox="1"/>
      </xdr:nvSpPr>
      <xdr:spPr>
        <a:xfrm>
          <a:off x="67733" y="4444153"/>
          <a:ext cx="1549400" cy="53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i="0" u="none" strike="noStrike">
              <a:solidFill>
                <a:srgbClr val="000000"/>
              </a:solidFill>
              <a:latin typeface="Calibri"/>
              <a:ea typeface="Calibri"/>
              <a:cs typeface="Calibri"/>
            </a:rPr>
            <a:t>Total </a:t>
          </a:r>
          <a:r>
            <a:rPr lang="en-US" sz="1400" b="1" i="0" u="none" strike="noStrike">
              <a:solidFill>
                <a:srgbClr val="000000"/>
              </a:solidFill>
              <a:latin typeface="Calibri"/>
              <a:ea typeface="Calibri"/>
              <a:cs typeface="Calibri"/>
            </a:rPr>
            <a:t>Rept</a:t>
          </a:r>
          <a:r>
            <a:rPr lang="en-US" sz="1200" b="1" i="0" u="none" strike="noStrike">
              <a:solidFill>
                <a:srgbClr val="000000"/>
              </a:solidFill>
              <a:latin typeface="Calibri"/>
              <a:ea typeface="Calibri"/>
              <a:cs typeface="Calibri"/>
            </a:rPr>
            <a:t> </a:t>
          </a:r>
        </a:p>
        <a:p>
          <a:pPr marL="0" indent="0" algn="ctr"/>
          <a:r>
            <a:rPr lang="en-US" sz="1200" b="1" i="0" u="none" strike="noStrike">
              <a:solidFill>
                <a:srgbClr val="000000"/>
              </a:solidFill>
              <a:latin typeface="Calibri"/>
              <a:ea typeface="Calibri"/>
              <a:cs typeface="Calibri"/>
            </a:rPr>
            <a:t>of </a:t>
          </a:r>
          <a:r>
            <a:rPr lang="en-US" sz="1400" b="1" i="0" u="none" strike="noStrike">
              <a:solidFill>
                <a:srgbClr val="000000"/>
              </a:solidFill>
              <a:latin typeface="Calibri"/>
              <a:ea typeface="Calibri"/>
              <a:cs typeface="Calibri"/>
            </a:rPr>
            <a:t>dept</a:t>
          </a:r>
          <a:endParaRPr lang="en-US" sz="1600" b="1" i="0" u="none" strike="noStrike">
            <a:solidFill>
              <a:srgbClr val="000000"/>
            </a:solidFill>
            <a:latin typeface="Calibri"/>
            <a:ea typeface="Calibri"/>
            <a:cs typeface="Calibri"/>
          </a:endParaRPr>
        </a:p>
      </xdr:txBody>
    </xdr:sp>
    <xdr:clientData/>
  </xdr:twoCellAnchor>
  <xdr:twoCellAnchor>
    <xdr:from>
      <xdr:col>0</xdr:col>
      <xdr:colOff>260774</xdr:colOff>
      <xdr:row>26</xdr:row>
      <xdr:rowOff>107527</xdr:rowOff>
    </xdr:from>
    <xdr:to>
      <xdr:col>2</xdr:col>
      <xdr:colOff>176954</xdr:colOff>
      <xdr:row>28</xdr:row>
      <xdr:rowOff>31326</xdr:rowOff>
    </xdr:to>
    <xdr:sp macro="" textlink="Sheet1!I4">
      <xdr:nvSpPr>
        <xdr:cNvPr id="14" name="TextBox 13">
          <a:extLst>
            <a:ext uri="{FF2B5EF4-FFF2-40B4-BE49-F238E27FC236}">
              <a16:creationId xmlns:a16="http://schemas.microsoft.com/office/drawing/2014/main" id="{A20FFC9D-9F14-4A73-85DC-9B2B594F45C3}"/>
            </a:ext>
          </a:extLst>
        </xdr:cNvPr>
        <xdr:cNvSpPr txBox="1"/>
      </xdr:nvSpPr>
      <xdr:spPr>
        <a:xfrm>
          <a:off x="260774" y="4950460"/>
          <a:ext cx="1135380"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71050D9-7EAF-4142-94BF-6188440B051B}" type="TxLink">
            <a:rPr lang="en-US" sz="1600" b="1" i="0" u="none" strike="noStrike">
              <a:solidFill>
                <a:srgbClr val="000000"/>
              </a:solidFill>
              <a:latin typeface="Calibri"/>
              <a:ea typeface="Calibri"/>
              <a:cs typeface="Calibri"/>
            </a:rPr>
            <a:t>50</a:t>
          </a:fld>
          <a:endParaRPr lang="en-IN" sz="3600" b="1" i="0" u="none" strike="noStrike">
            <a:solidFill>
              <a:srgbClr val="000000"/>
            </a:solidFill>
            <a:latin typeface="Calibri"/>
            <a:ea typeface="Calibri"/>
            <a:cs typeface="Calibri"/>
          </a:endParaRPr>
        </a:p>
      </xdr:txBody>
    </xdr:sp>
    <xdr:clientData/>
  </xdr:twoCellAnchor>
  <xdr:twoCellAnchor>
    <xdr:from>
      <xdr:col>0</xdr:col>
      <xdr:colOff>242146</xdr:colOff>
      <xdr:row>28</xdr:row>
      <xdr:rowOff>10160</xdr:rowOff>
    </xdr:from>
    <xdr:to>
      <xdr:col>2</xdr:col>
      <xdr:colOff>158326</xdr:colOff>
      <xdr:row>29</xdr:row>
      <xdr:rowOff>116840</xdr:rowOff>
    </xdr:to>
    <xdr:sp macro="" textlink="Sheet5!G3">
      <xdr:nvSpPr>
        <xdr:cNvPr id="15" name="TextBox 14">
          <a:extLst>
            <a:ext uri="{FF2B5EF4-FFF2-40B4-BE49-F238E27FC236}">
              <a16:creationId xmlns:a16="http://schemas.microsoft.com/office/drawing/2014/main" id="{CD973997-21F5-47CF-924B-D3AB8615DB99}"/>
            </a:ext>
          </a:extLst>
        </xdr:cNvPr>
        <xdr:cNvSpPr txBox="1"/>
      </xdr:nvSpPr>
      <xdr:spPr>
        <a:xfrm>
          <a:off x="242146" y="5225627"/>
          <a:ext cx="1135380" cy="292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8599766-D81B-44E9-9107-F75FDD1EB354}" type="TxLink">
            <a:rPr lang="en-US" sz="1600" b="0" i="0" u="none" strike="noStrike">
              <a:solidFill>
                <a:srgbClr val="000000"/>
              </a:solidFill>
              <a:latin typeface="Calibri"/>
              <a:ea typeface="Calibri"/>
              <a:cs typeface="Calibri"/>
            </a:rPr>
            <a:pPr marL="0" indent="0" algn="ctr"/>
            <a:t>📌</a:t>
          </a:fld>
          <a:endParaRPr lang="en-IN" sz="1600" b="0" i="0" u="none" strike="noStrike">
            <a:solidFill>
              <a:srgbClr val="000000"/>
            </a:solidFill>
            <a:latin typeface="Calibri"/>
            <a:ea typeface="Calibri"/>
            <a:cs typeface="Calibri"/>
          </a:endParaRPr>
        </a:p>
      </xdr:txBody>
    </xdr:sp>
    <xdr:clientData/>
  </xdr:twoCellAnchor>
  <xdr:twoCellAnchor>
    <xdr:from>
      <xdr:col>0</xdr:col>
      <xdr:colOff>127000</xdr:colOff>
      <xdr:row>29</xdr:row>
      <xdr:rowOff>59267</xdr:rowOff>
    </xdr:from>
    <xdr:to>
      <xdr:col>2</xdr:col>
      <xdr:colOff>381000</xdr:colOff>
      <xdr:row>32</xdr:row>
      <xdr:rowOff>8467</xdr:rowOff>
    </xdr:to>
    <xdr:sp macro="" textlink="Sheet5!G4">
      <xdr:nvSpPr>
        <xdr:cNvPr id="16" name="TextBox 15">
          <a:extLst>
            <a:ext uri="{FF2B5EF4-FFF2-40B4-BE49-F238E27FC236}">
              <a16:creationId xmlns:a16="http://schemas.microsoft.com/office/drawing/2014/main" id="{8A2E66A0-8B82-4BE5-A7EA-4B6B1DF76458}"/>
            </a:ext>
          </a:extLst>
        </xdr:cNvPr>
        <xdr:cNvSpPr txBox="1"/>
      </xdr:nvSpPr>
      <xdr:spPr>
        <a:xfrm>
          <a:off x="127000" y="5461000"/>
          <a:ext cx="14732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i="0" u="none" strike="noStrike">
              <a:solidFill>
                <a:srgbClr val="000000"/>
              </a:solidFill>
              <a:latin typeface="Calibri"/>
              <a:ea typeface="Calibri"/>
              <a:cs typeface="Calibri"/>
            </a:rPr>
            <a:t>Total</a:t>
          </a:r>
          <a:r>
            <a:rPr lang="en-IN" sz="1200" b="1" i="0" u="none" strike="noStrike" baseline="0">
              <a:solidFill>
                <a:srgbClr val="000000"/>
              </a:solidFill>
              <a:latin typeface="Calibri"/>
              <a:ea typeface="Calibri"/>
              <a:cs typeface="Calibri"/>
            </a:rPr>
            <a:t> Rept </a:t>
          </a:r>
        </a:p>
        <a:p>
          <a:pPr marL="0" indent="0" algn="ctr"/>
          <a:r>
            <a:rPr lang="en-IN" sz="1200" b="1" i="0" u="none" strike="noStrike" baseline="0">
              <a:solidFill>
                <a:srgbClr val="000000"/>
              </a:solidFill>
              <a:latin typeface="Calibri"/>
              <a:ea typeface="Calibri"/>
              <a:cs typeface="Calibri"/>
            </a:rPr>
            <a:t>of City</a:t>
          </a:r>
        </a:p>
        <a:p>
          <a:pPr marL="0" indent="0" algn="ctr"/>
          <a:endParaRPr lang="en-IN" sz="1200" b="1" i="0" u="none" strike="noStrike">
            <a:solidFill>
              <a:srgbClr val="000000"/>
            </a:solidFill>
            <a:latin typeface="Calibri"/>
            <a:ea typeface="Calibri"/>
            <a:cs typeface="Calibri"/>
          </a:endParaRPr>
        </a:p>
      </xdr:txBody>
    </xdr:sp>
    <xdr:clientData/>
  </xdr:twoCellAnchor>
  <xdr:twoCellAnchor>
    <xdr:from>
      <xdr:col>0</xdr:col>
      <xdr:colOff>266700</xdr:colOff>
      <xdr:row>31</xdr:row>
      <xdr:rowOff>129540</xdr:rowOff>
    </xdr:from>
    <xdr:to>
      <xdr:col>2</xdr:col>
      <xdr:colOff>182880</xdr:colOff>
      <xdr:row>33</xdr:row>
      <xdr:rowOff>53340</xdr:rowOff>
    </xdr:to>
    <xdr:sp macro="" textlink="Sheet1!I4">
      <xdr:nvSpPr>
        <xdr:cNvPr id="17" name="TextBox 16">
          <a:extLst>
            <a:ext uri="{FF2B5EF4-FFF2-40B4-BE49-F238E27FC236}">
              <a16:creationId xmlns:a16="http://schemas.microsoft.com/office/drawing/2014/main" id="{0A109982-BF4F-4DB6-BCB1-1FB2D03365DF}"/>
            </a:ext>
          </a:extLst>
        </xdr:cNvPr>
        <xdr:cNvSpPr txBox="1"/>
      </xdr:nvSpPr>
      <xdr:spPr>
        <a:xfrm>
          <a:off x="266700" y="5798820"/>
          <a:ext cx="11353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9971D21-D349-42A1-9B52-D3445CA91D32}" type="TxLink">
            <a:rPr lang="en-US" sz="1600" b="1" i="0" u="none" strike="noStrike">
              <a:solidFill>
                <a:srgbClr val="000000"/>
              </a:solidFill>
              <a:latin typeface="Calibri"/>
              <a:ea typeface="Calibri"/>
              <a:cs typeface="Calibri"/>
            </a:rPr>
            <a:t>50</a:t>
          </a:fld>
          <a:endParaRPr lang="en-IN" sz="3600" b="1" i="0" u="none" strike="noStrike">
            <a:solidFill>
              <a:srgbClr val="000000"/>
            </a:solidFill>
            <a:latin typeface="Calibri"/>
            <a:ea typeface="Calibri"/>
            <a:cs typeface="Calibri"/>
          </a:endParaRPr>
        </a:p>
      </xdr:txBody>
    </xdr:sp>
    <xdr:clientData/>
  </xdr:twoCellAnchor>
  <xdr:twoCellAnchor>
    <xdr:from>
      <xdr:col>0</xdr:col>
      <xdr:colOff>38100</xdr:colOff>
      <xdr:row>0</xdr:row>
      <xdr:rowOff>60960</xdr:rowOff>
    </xdr:from>
    <xdr:to>
      <xdr:col>19</xdr:col>
      <xdr:colOff>0</xdr:colOff>
      <xdr:row>2</xdr:row>
      <xdr:rowOff>91440</xdr:rowOff>
    </xdr:to>
    <xdr:sp macro="" textlink="Sheet5!I2">
      <xdr:nvSpPr>
        <xdr:cNvPr id="18" name="TextBox 17">
          <a:extLst>
            <a:ext uri="{FF2B5EF4-FFF2-40B4-BE49-F238E27FC236}">
              <a16:creationId xmlns:a16="http://schemas.microsoft.com/office/drawing/2014/main" id="{A0F20B3D-2990-638B-5B7B-C7A569364FF6}"/>
            </a:ext>
          </a:extLst>
        </xdr:cNvPr>
        <xdr:cNvSpPr txBox="1"/>
      </xdr:nvSpPr>
      <xdr:spPr>
        <a:xfrm>
          <a:off x="38100" y="60960"/>
          <a:ext cx="11544300" cy="39624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pPr algn="ctr"/>
          <a:fld id="{5A8D7B71-3445-4C30-B270-409CE60FBCA0}" type="TxLink">
            <a:rPr lang="en-US" sz="1800" b="0" i="0" u="none" strike="noStrike" cap="none" spc="0">
              <a:ln w="0"/>
              <a:solidFill>
                <a:schemeClr val="accent6">
                  <a:lumMod val="50000"/>
                </a:schemeClr>
              </a:solidFill>
              <a:effectLst>
                <a:outerShdw blurRad="38100" dist="19050" dir="2700000" algn="tl" rotWithShape="0">
                  <a:schemeClr val="dk1">
                    <a:alpha val="40000"/>
                  </a:schemeClr>
                </a:outerShdw>
              </a:effectLst>
              <a:latin typeface="Calibri"/>
              <a:ea typeface="Calibri"/>
              <a:cs typeface="Calibri"/>
            </a:rPr>
            <a:pPr algn="ctr"/>
            <a:t>🧑‍💻 Employees Data Analyze</a:t>
          </a:fld>
          <a:endParaRPr lang="en-IN" sz="1200" b="0" cap="none" spc="0">
            <a:ln w="0"/>
            <a:solidFill>
              <a:schemeClr val="accent6">
                <a:lumMod val="50000"/>
              </a:schemeClr>
            </a:solidFill>
            <a:effectLst>
              <a:outerShdw blurRad="38100" dist="19050" dir="2700000" algn="tl" rotWithShape="0">
                <a:schemeClr val="dk1">
                  <a:alpha val="40000"/>
                </a:schemeClr>
              </a:outerShdw>
            </a:effectLst>
          </a:endParaRPr>
        </a:p>
      </xdr:txBody>
    </xdr:sp>
    <xdr:clientData/>
  </xdr:twoCellAnchor>
  <xdr:twoCellAnchor>
    <xdr:from>
      <xdr:col>2</xdr:col>
      <xdr:colOff>480060</xdr:colOff>
      <xdr:row>9</xdr:row>
      <xdr:rowOff>125506</xdr:rowOff>
    </xdr:from>
    <xdr:to>
      <xdr:col>7</xdr:col>
      <xdr:colOff>457200</xdr:colOff>
      <xdr:row>20</xdr:row>
      <xdr:rowOff>38100</xdr:rowOff>
    </xdr:to>
    <xdr:graphicFrame macro="">
      <xdr:nvGraphicFramePr>
        <xdr:cNvPr id="19" name="Chart 18">
          <a:extLst>
            <a:ext uri="{FF2B5EF4-FFF2-40B4-BE49-F238E27FC236}">
              <a16:creationId xmlns:a16="http://schemas.microsoft.com/office/drawing/2014/main" id="{CA29C76C-5381-4854-8E45-5B3460BA6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518160</xdr:colOff>
      <xdr:row>9</xdr:row>
      <xdr:rowOff>134471</xdr:rowOff>
    </xdr:from>
    <xdr:to>
      <xdr:col>13</xdr:col>
      <xdr:colOff>167640</xdr:colOff>
      <xdr:row>20</xdr:row>
      <xdr:rowOff>53340</xdr:rowOff>
    </xdr:to>
    <xdr:graphicFrame macro="">
      <xdr:nvGraphicFramePr>
        <xdr:cNvPr id="20" name="Chart 19">
          <a:extLst>
            <a:ext uri="{FF2B5EF4-FFF2-40B4-BE49-F238E27FC236}">
              <a16:creationId xmlns:a16="http://schemas.microsoft.com/office/drawing/2014/main" id="{9EFD0603-054D-493A-9DE3-A37A92C45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472440</xdr:colOff>
      <xdr:row>20</xdr:row>
      <xdr:rowOff>91440</xdr:rowOff>
    </xdr:from>
    <xdr:to>
      <xdr:col>9</xdr:col>
      <xdr:colOff>289560</xdr:colOff>
      <xdr:row>33</xdr:row>
      <xdr:rowOff>106680</xdr:rowOff>
    </xdr:to>
    <xdr:graphicFrame macro="">
      <xdr:nvGraphicFramePr>
        <xdr:cNvPr id="21" name="Chart 20">
          <a:extLst>
            <a:ext uri="{FF2B5EF4-FFF2-40B4-BE49-F238E27FC236}">
              <a16:creationId xmlns:a16="http://schemas.microsoft.com/office/drawing/2014/main" id="{F58949D2-6886-4DD1-A53A-EE5B45077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342900</xdr:colOff>
      <xdr:row>20</xdr:row>
      <xdr:rowOff>99060</xdr:rowOff>
    </xdr:from>
    <xdr:to>
      <xdr:col>18</xdr:col>
      <xdr:colOff>601980</xdr:colOff>
      <xdr:row>33</xdr:row>
      <xdr:rowOff>106680</xdr:rowOff>
    </xdr:to>
    <xdr:graphicFrame macro="">
      <xdr:nvGraphicFramePr>
        <xdr:cNvPr id="22" name="Chart 21">
          <a:extLst>
            <a:ext uri="{FF2B5EF4-FFF2-40B4-BE49-F238E27FC236}">
              <a16:creationId xmlns:a16="http://schemas.microsoft.com/office/drawing/2014/main" id="{3E520F89-B3C4-4668-A304-311CBA826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205740</xdr:colOff>
      <xdr:row>9</xdr:row>
      <xdr:rowOff>144780</xdr:rowOff>
    </xdr:from>
    <xdr:to>
      <xdr:col>19</xdr:col>
      <xdr:colOff>15240</xdr:colOff>
      <xdr:row>20</xdr:row>
      <xdr:rowOff>60960</xdr:rowOff>
    </xdr:to>
    <xdr:graphicFrame macro="">
      <xdr:nvGraphicFramePr>
        <xdr:cNvPr id="23" name="Chart 22">
          <a:extLst>
            <a:ext uri="{FF2B5EF4-FFF2-40B4-BE49-F238E27FC236}">
              <a16:creationId xmlns:a16="http://schemas.microsoft.com/office/drawing/2014/main" id="{A73FFE66-DA78-47CE-AE5C-533448120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53340</xdr:colOff>
      <xdr:row>3</xdr:row>
      <xdr:rowOff>0</xdr:rowOff>
    </xdr:from>
    <xdr:to>
      <xdr:col>4</xdr:col>
      <xdr:colOff>327540</xdr:colOff>
      <xdr:row>9</xdr:row>
      <xdr:rowOff>91440</xdr:rowOff>
    </xdr:to>
    <mc:AlternateContent xmlns:mc="http://schemas.openxmlformats.org/markup-compatibility/2006" xmlns:a14="http://schemas.microsoft.com/office/drawing/2010/main">
      <mc:Choice Requires="a14">
        <xdr:graphicFrame macro="">
          <xdr:nvGraphicFramePr>
            <xdr:cNvPr id="24" name="Education_Level">
              <a:extLst>
                <a:ext uri="{FF2B5EF4-FFF2-40B4-BE49-F238E27FC236}">
                  <a16:creationId xmlns:a16="http://schemas.microsoft.com/office/drawing/2014/main" id="{EB98DBA6-C514-4B99-8916-45F05F79589F}"/>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53340" y="537882"/>
              <a:ext cx="2712600" cy="1167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396210</xdr:colOff>
      <xdr:row>3</xdr:row>
      <xdr:rowOff>0</xdr:rowOff>
    </xdr:from>
    <xdr:to>
      <xdr:col>9</xdr:col>
      <xdr:colOff>480060</xdr:colOff>
      <xdr:row>9</xdr:row>
      <xdr:rowOff>90720</xdr:rowOff>
    </xdr:to>
    <mc:AlternateContent xmlns:mc="http://schemas.openxmlformats.org/markup-compatibility/2006" xmlns:a14="http://schemas.microsoft.com/office/drawing/2010/main">
      <mc:Choice Requires="a14">
        <xdr:graphicFrame macro="">
          <xdr:nvGraphicFramePr>
            <xdr:cNvPr id="25" name="Department">
              <a:extLst>
                <a:ext uri="{FF2B5EF4-FFF2-40B4-BE49-F238E27FC236}">
                  <a16:creationId xmlns:a16="http://schemas.microsoft.com/office/drawing/2014/main" id="{04657572-55A5-4F87-B605-497AF6D58AB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834610" y="537882"/>
              <a:ext cx="3131850" cy="1166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594360</xdr:colOff>
      <xdr:row>3</xdr:row>
      <xdr:rowOff>0</xdr:rowOff>
    </xdr:from>
    <xdr:to>
      <xdr:col>13</xdr:col>
      <xdr:colOff>531960</xdr:colOff>
      <xdr:row>9</xdr:row>
      <xdr:rowOff>90720</xdr:rowOff>
    </xdr:to>
    <mc:AlternateContent xmlns:mc="http://schemas.openxmlformats.org/markup-compatibility/2006" xmlns:a14="http://schemas.microsoft.com/office/drawing/2010/main">
      <mc:Choice Requires="a14">
        <xdr:graphicFrame macro="">
          <xdr:nvGraphicFramePr>
            <xdr:cNvPr id="26" name="Gender">
              <a:extLst>
                <a:ext uri="{FF2B5EF4-FFF2-40B4-BE49-F238E27FC236}">
                  <a16:creationId xmlns:a16="http://schemas.microsoft.com/office/drawing/2014/main" id="{FDE6FB11-0D21-4C45-84FE-9870DBF727A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80760" y="537882"/>
              <a:ext cx="2376000" cy="1166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3</xdr:row>
      <xdr:rowOff>0</xdr:rowOff>
    </xdr:from>
    <xdr:to>
      <xdr:col>18</xdr:col>
      <xdr:colOff>591750</xdr:colOff>
      <xdr:row>9</xdr:row>
      <xdr:rowOff>91440</xdr:rowOff>
    </xdr:to>
    <mc:AlternateContent xmlns:mc="http://schemas.openxmlformats.org/markup-compatibility/2006" xmlns:a14="http://schemas.microsoft.com/office/drawing/2010/main">
      <mc:Choice Requires="a14">
        <xdr:graphicFrame macro="">
          <xdr:nvGraphicFramePr>
            <xdr:cNvPr id="27" name="City">
              <a:extLst>
                <a:ext uri="{FF2B5EF4-FFF2-40B4-BE49-F238E27FC236}">
                  <a16:creationId xmlns:a16="http://schemas.microsoft.com/office/drawing/2014/main" id="{2117DEBD-9523-4C26-A523-AF5A40BA396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534400" y="537882"/>
              <a:ext cx="3030150" cy="1167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Saini" refreshedDate="46296.765904513886" createdVersion="8" refreshedVersion="8" minRefreshableVersion="3" recordCount="50" xr:uid="{23F93B94-F2E3-437C-B4C6-DB3B0CA39FDF}">
  <cacheSource type="worksheet">
    <worksheetSource ref="A1:J51" sheet="employees_data"/>
  </cacheSource>
  <cacheFields count="10">
    <cacheField name="EmployeeID" numFmtId="0">
      <sharedItems containsSemiMixedTypes="0" containsString="0" containsNumber="1" containsInteger="1" minValue="1" maxValue="50"/>
    </cacheField>
    <cacheField name="Name" numFmtId="0">
      <sharedItems/>
    </cacheField>
    <cacheField name="Department" numFmtId="0">
      <sharedItems count="5">
        <s v="Marketing"/>
        <s v="Operations"/>
        <s v="IT"/>
        <s v="Finance"/>
        <s v="HR"/>
      </sharedItems>
    </cacheField>
    <cacheField name="Experience_Years" numFmtId="0">
      <sharedItems containsSemiMixedTypes="0" containsString="0" containsNumber="1" containsInteger="1" minValue="1" maxValue="19"/>
    </cacheField>
    <cacheField name="Education_Level" numFmtId="0">
      <sharedItems count="4">
        <s v="Master"/>
        <s v="Bachelor"/>
        <s v="High School"/>
        <s v="PhD"/>
      </sharedItems>
    </cacheField>
    <cacheField name="Age" numFmtId="0">
      <sharedItems containsSemiMixedTypes="0" containsString="0" containsNumber="1" containsInteger="1" minValue="22" maxValue="57" count="27">
        <n v="53"/>
        <n v="25"/>
        <n v="51"/>
        <n v="44"/>
        <n v="36"/>
        <n v="50"/>
        <n v="57"/>
        <n v="34"/>
        <n v="28"/>
        <n v="43"/>
        <n v="49"/>
        <n v="23"/>
        <n v="27"/>
        <n v="41"/>
        <n v="32"/>
        <n v="46"/>
        <n v="54"/>
        <n v="22"/>
        <n v="48"/>
        <n v="24"/>
        <n v="29"/>
        <n v="30"/>
        <n v="45"/>
        <n v="33"/>
        <n v="38"/>
        <n v="40"/>
        <n v="47"/>
      </sharedItems>
    </cacheField>
    <cacheField name="Gender" numFmtId="0">
      <sharedItems count="2">
        <s v="Female"/>
        <s v="Male"/>
      </sharedItems>
    </cacheField>
    <cacheField name="City" numFmtId="0">
      <sharedItems count="5">
        <s v="Delhi"/>
        <s v="Bangalore"/>
        <s v="Hyderabad"/>
        <s v="Mumbai"/>
        <s v="Chennai"/>
      </sharedItems>
    </cacheField>
    <cacheField name="Monthly_Salary" numFmtId="0">
      <sharedItems containsSemiMixedTypes="0" containsString="0" containsNumber="1" containsInteger="1" minValue="28420" maxValue="149123" count="50">
        <n v="111416"/>
        <n v="95271"/>
        <n v="69064"/>
        <n v="95091"/>
        <n v="132450"/>
        <n v="65818"/>
        <n v="70525"/>
        <n v="44830"/>
        <n v="42429"/>
        <n v="31893"/>
        <n v="141381"/>
        <n v="104909"/>
        <n v="72333"/>
        <n v="28436"/>
        <n v="99290"/>
        <n v="101213"/>
        <n v="30895"/>
        <n v="44738"/>
        <n v="55746"/>
        <n v="74377"/>
        <n v="73404"/>
        <n v="79045"/>
        <n v="122888"/>
        <n v="64790"/>
        <n v="132455"/>
        <n v="30600"/>
        <n v="119660"/>
        <n v="118179"/>
        <n v="65764"/>
        <n v="99543"/>
        <n v="70714"/>
        <n v="81835"/>
        <n v="127946"/>
        <n v="134616"/>
        <n v="130983"/>
        <n v="98744"/>
        <n v="81491"/>
        <n v="149123"/>
        <n v="43589"/>
        <n v="68484"/>
        <n v="107989"/>
        <n v="61212"/>
        <n v="68525"/>
        <n v="72202"/>
        <n v="57635"/>
        <n v="88208"/>
        <n v="58828"/>
        <n v="43711"/>
        <n v="28420"/>
        <n v="121752"/>
      </sharedItems>
    </cacheField>
    <cacheField name="JobRole" numFmtId="0">
      <sharedItems count="22">
        <s v="Sales Executive"/>
        <s v="Customer Support Executive"/>
        <s v="Data Analyst"/>
        <s v="Chat Support Executive"/>
        <s v="Accoutant"/>
        <s v="Web Developer"/>
        <s v="Manager"/>
        <s v="Assis. Manager"/>
        <s v="Marketing Executive"/>
        <s v="Backend Develper"/>
        <s v="TL"/>
        <s v="Social Media Executive"/>
        <s v="Research Scientist"/>
        <s v="HR Manager"/>
        <s v="Research Director"/>
        <s v="HR Executive"/>
        <s v="Testing Executive"/>
        <s v="MIS Executive"/>
        <s v="Onboard Executive"/>
        <s v="Sr. Accountant"/>
        <s v="Hiring Manager"/>
        <s v="CFO"/>
      </sharedItems>
    </cacheField>
  </cacheFields>
  <extLst>
    <ext xmlns:x14="http://schemas.microsoft.com/office/spreadsheetml/2009/9/main" uri="{725AE2AE-9491-48be-B2B4-4EB974FC3084}">
      <x14:pivotCacheDefinition pivotCacheId="2043964880"/>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Saini" refreshedDate="46307.601701041669" createdVersion="8" refreshedVersion="8" minRefreshableVersion="3" recordCount="5" xr:uid="{1FD00C41-B5DC-4339-A7FD-1E93857854BB}">
  <cacheSource type="worksheet">
    <worksheetSource ref="L1:M6" sheet="employees_data"/>
  </cacheSource>
  <cacheFields count="2">
    <cacheField name="Department" numFmtId="0">
      <sharedItems count="5">
        <s v="Marketing"/>
        <s v="Operations"/>
        <s v="IT"/>
        <s v="Finance"/>
        <s v="HR"/>
      </sharedItems>
    </cacheField>
    <cacheField name="City" numFmtId="0">
      <sharedItems count="5">
        <s v="Delhi"/>
        <s v="Bangalore"/>
        <s v="Hyderabad"/>
        <s v="Mumbai"/>
        <s v="Chennai"/>
      </sharedItems>
    </cacheField>
  </cacheFields>
  <extLst>
    <ext xmlns:x14="http://schemas.microsoft.com/office/spreadsheetml/2009/9/main" uri="{725AE2AE-9491-48be-B2B4-4EB974FC3084}">
      <x14:pivotCacheDefinition pivotCacheId="28037214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Claire Gute"/>
    <x v="0"/>
    <n v="15"/>
    <x v="0"/>
    <x v="0"/>
    <x v="0"/>
    <x v="0"/>
    <x v="0"/>
    <x v="0"/>
  </r>
  <r>
    <n v="2"/>
    <s v="Darrin Van Huff"/>
    <x v="1"/>
    <n v="7"/>
    <x v="1"/>
    <x v="1"/>
    <x v="0"/>
    <x v="1"/>
    <x v="1"/>
    <x v="1"/>
  </r>
  <r>
    <n v="3"/>
    <s v="Sean O'Donnell"/>
    <x v="2"/>
    <n v="12"/>
    <x v="2"/>
    <x v="2"/>
    <x v="0"/>
    <x v="2"/>
    <x v="2"/>
    <x v="2"/>
  </r>
  <r>
    <n v="4"/>
    <s v="Brosina Hoffman"/>
    <x v="1"/>
    <n v="8"/>
    <x v="3"/>
    <x v="3"/>
    <x v="1"/>
    <x v="0"/>
    <x v="3"/>
    <x v="1"/>
  </r>
  <r>
    <n v="5"/>
    <s v="Andrew Allen"/>
    <x v="1"/>
    <n v="15"/>
    <x v="0"/>
    <x v="4"/>
    <x v="0"/>
    <x v="0"/>
    <x v="4"/>
    <x v="3"/>
  </r>
  <r>
    <n v="6"/>
    <s v="Irene Maddox"/>
    <x v="3"/>
    <n v="3"/>
    <x v="2"/>
    <x v="5"/>
    <x v="1"/>
    <x v="3"/>
    <x v="5"/>
    <x v="4"/>
  </r>
  <r>
    <n v="7"/>
    <s v="Harold Pawlan"/>
    <x v="2"/>
    <n v="14"/>
    <x v="3"/>
    <x v="6"/>
    <x v="1"/>
    <x v="3"/>
    <x v="6"/>
    <x v="5"/>
  </r>
  <r>
    <n v="8"/>
    <s v="Pete Kriz"/>
    <x v="2"/>
    <n v="17"/>
    <x v="3"/>
    <x v="7"/>
    <x v="0"/>
    <x v="1"/>
    <x v="7"/>
    <x v="6"/>
  </r>
  <r>
    <n v="9"/>
    <s v="Alejandro Grove"/>
    <x v="2"/>
    <n v="4"/>
    <x v="1"/>
    <x v="0"/>
    <x v="1"/>
    <x v="2"/>
    <x v="8"/>
    <x v="7"/>
  </r>
  <r>
    <n v="10"/>
    <s v="Zuschuss Donatelli"/>
    <x v="1"/>
    <n v="18"/>
    <x v="2"/>
    <x v="8"/>
    <x v="1"/>
    <x v="3"/>
    <x v="9"/>
    <x v="6"/>
  </r>
  <r>
    <n v="11"/>
    <s v="Ken Black"/>
    <x v="0"/>
    <n v="8"/>
    <x v="3"/>
    <x v="9"/>
    <x v="1"/>
    <x v="0"/>
    <x v="10"/>
    <x v="8"/>
  </r>
  <r>
    <n v="12"/>
    <s v="Sandra Flanagan"/>
    <x v="2"/>
    <n v="4"/>
    <x v="0"/>
    <x v="10"/>
    <x v="0"/>
    <x v="2"/>
    <x v="11"/>
    <x v="9"/>
  </r>
  <r>
    <n v="13"/>
    <s v="Emily Burns"/>
    <x v="1"/>
    <n v="2"/>
    <x v="0"/>
    <x v="11"/>
    <x v="0"/>
    <x v="2"/>
    <x v="12"/>
    <x v="10"/>
  </r>
  <r>
    <n v="14"/>
    <s v="Eric Hoffmann"/>
    <x v="3"/>
    <n v="6"/>
    <x v="1"/>
    <x v="12"/>
    <x v="1"/>
    <x v="0"/>
    <x v="13"/>
    <x v="4"/>
  </r>
  <r>
    <n v="15"/>
    <s v="Tracy Blumstein"/>
    <x v="0"/>
    <n v="10"/>
    <x v="3"/>
    <x v="10"/>
    <x v="0"/>
    <x v="3"/>
    <x v="14"/>
    <x v="11"/>
  </r>
  <r>
    <n v="16"/>
    <s v="Matt Abelman"/>
    <x v="3"/>
    <n v="4"/>
    <x v="2"/>
    <x v="10"/>
    <x v="0"/>
    <x v="0"/>
    <x v="15"/>
    <x v="7"/>
  </r>
  <r>
    <n v="17"/>
    <s v="Gene Hale"/>
    <x v="0"/>
    <n v="18"/>
    <x v="0"/>
    <x v="13"/>
    <x v="0"/>
    <x v="2"/>
    <x v="16"/>
    <x v="12"/>
  </r>
  <r>
    <n v="18"/>
    <s v="Steve Nguyen"/>
    <x v="1"/>
    <n v="12"/>
    <x v="3"/>
    <x v="2"/>
    <x v="0"/>
    <x v="4"/>
    <x v="17"/>
    <x v="10"/>
  </r>
  <r>
    <n v="19"/>
    <s v="Linda Cazamias"/>
    <x v="4"/>
    <n v="2"/>
    <x v="3"/>
    <x v="14"/>
    <x v="1"/>
    <x v="4"/>
    <x v="18"/>
    <x v="13"/>
  </r>
  <r>
    <n v="20"/>
    <s v="Ruben Ausman"/>
    <x v="0"/>
    <n v="10"/>
    <x v="1"/>
    <x v="10"/>
    <x v="1"/>
    <x v="1"/>
    <x v="19"/>
    <x v="12"/>
  </r>
  <r>
    <n v="21"/>
    <s v="Erin Smith"/>
    <x v="3"/>
    <n v="4"/>
    <x v="0"/>
    <x v="15"/>
    <x v="0"/>
    <x v="0"/>
    <x v="20"/>
    <x v="6"/>
  </r>
  <r>
    <n v="22"/>
    <s v="Odella Nelson"/>
    <x v="1"/>
    <n v="14"/>
    <x v="0"/>
    <x v="16"/>
    <x v="0"/>
    <x v="0"/>
    <x v="21"/>
    <x v="7"/>
  </r>
  <r>
    <n v="23"/>
    <s v="Patrick O'Donnell"/>
    <x v="0"/>
    <n v="16"/>
    <x v="2"/>
    <x v="17"/>
    <x v="1"/>
    <x v="1"/>
    <x v="22"/>
    <x v="14"/>
  </r>
  <r>
    <n v="24"/>
    <s v="Lena Hernandez"/>
    <x v="4"/>
    <n v="15"/>
    <x v="0"/>
    <x v="18"/>
    <x v="1"/>
    <x v="1"/>
    <x v="23"/>
    <x v="15"/>
  </r>
  <r>
    <n v="25"/>
    <s v="Darren Powers"/>
    <x v="4"/>
    <n v="8"/>
    <x v="2"/>
    <x v="7"/>
    <x v="0"/>
    <x v="1"/>
    <x v="24"/>
    <x v="15"/>
  </r>
  <r>
    <n v="26"/>
    <s v="Janet Molinari"/>
    <x v="2"/>
    <n v="14"/>
    <x v="0"/>
    <x v="19"/>
    <x v="1"/>
    <x v="2"/>
    <x v="25"/>
    <x v="16"/>
  </r>
  <r>
    <n v="27"/>
    <s v="Ted Butterfield"/>
    <x v="2"/>
    <n v="8"/>
    <x v="1"/>
    <x v="12"/>
    <x v="0"/>
    <x v="0"/>
    <x v="26"/>
    <x v="2"/>
  </r>
  <r>
    <n v="28"/>
    <s v="Kunst Miller"/>
    <x v="3"/>
    <n v="16"/>
    <x v="0"/>
    <x v="20"/>
    <x v="0"/>
    <x v="2"/>
    <x v="27"/>
    <x v="0"/>
  </r>
  <r>
    <n v="29"/>
    <s v="Paul Stevenson"/>
    <x v="0"/>
    <n v="13"/>
    <x v="2"/>
    <x v="18"/>
    <x v="1"/>
    <x v="1"/>
    <x v="28"/>
    <x v="0"/>
  </r>
  <r>
    <n v="30"/>
    <s v="Brendan Sweed"/>
    <x v="0"/>
    <n v="18"/>
    <x v="2"/>
    <x v="21"/>
    <x v="1"/>
    <x v="0"/>
    <x v="29"/>
    <x v="6"/>
  </r>
  <r>
    <n v="31"/>
    <s v="Karen Daniels"/>
    <x v="2"/>
    <n v="15"/>
    <x v="1"/>
    <x v="16"/>
    <x v="0"/>
    <x v="2"/>
    <x v="30"/>
    <x v="17"/>
  </r>
  <r>
    <n v="32"/>
    <s v="Henry MacAllister"/>
    <x v="0"/>
    <n v="13"/>
    <x v="0"/>
    <x v="22"/>
    <x v="0"/>
    <x v="2"/>
    <x v="31"/>
    <x v="8"/>
  </r>
  <r>
    <n v="33"/>
    <s v="Joel Eaton"/>
    <x v="0"/>
    <n v="9"/>
    <x v="0"/>
    <x v="4"/>
    <x v="1"/>
    <x v="1"/>
    <x v="32"/>
    <x v="11"/>
  </r>
  <r>
    <n v="34"/>
    <s v="Ken Brennan"/>
    <x v="4"/>
    <n v="15"/>
    <x v="1"/>
    <x v="0"/>
    <x v="0"/>
    <x v="0"/>
    <x v="33"/>
    <x v="15"/>
  </r>
  <r>
    <n v="35"/>
    <s v="Stewart Carmichael"/>
    <x v="2"/>
    <n v="13"/>
    <x v="0"/>
    <x v="0"/>
    <x v="1"/>
    <x v="1"/>
    <x v="34"/>
    <x v="5"/>
  </r>
  <r>
    <n v="36"/>
    <s v="Duane Noonan"/>
    <x v="1"/>
    <n v="1"/>
    <x v="0"/>
    <x v="22"/>
    <x v="0"/>
    <x v="0"/>
    <x v="35"/>
    <x v="10"/>
  </r>
  <r>
    <n v="37"/>
    <s v="Julie Creighton"/>
    <x v="2"/>
    <n v="7"/>
    <x v="2"/>
    <x v="23"/>
    <x v="1"/>
    <x v="4"/>
    <x v="36"/>
    <x v="5"/>
  </r>
  <r>
    <n v="38"/>
    <s v="Christopher Schild"/>
    <x v="1"/>
    <n v="9"/>
    <x v="0"/>
    <x v="11"/>
    <x v="1"/>
    <x v="3"/>
    <x v="37"/>
    <x v="3"/>
  </r>
  <r>
    <n v="39"/>
    <s v="Paul Gonzalez"/>
    <x v="4"/>
    <n v="1"/>
    <x v="0"/>
    <x v="19"/>
    <x v="1"/>
    <x v="3"/>
    <x v="38"/>
    <x v="18"/>
  </r>
  <r>
    <n v="40"/>
    <s v="Gary Mitchum"/>
    <x v="3"/>
    <n v="12"/>
    <x v="1"/>
    <x v="24"/>
    <x v="0"/>
    <x v="3"/>
    <x v="39"/>
    <x v="0"/>
  </r>
  <r>
    <n v="41"/>
    <s v="Jim Sink"/>
    <x v="0"/>
    <n v="8"/>
    <x v="1"/>
    <x v="11"/>
    <x v="0"/>
    <x v="1"/>
    <x v="40"/>
    <x v="8"/>
  </r>
  <r>
    <n v="42"/>
    <s v="Karl Braun"/>
    <x v="4"/>
    <n v="11"/>
    <x v="3"/>
    <x v="11"/>
    <x v="1"/>
    <x v="4"/>
    <x v="41"/>
    <x v="18"/>
  </r>
  <r>
    <n v="43"/>
    <s v="Roger Barcio"/>
    <x v="0"/>
    <n v="19"/>
    <x v="2"/>
    <x v="10"/>
    <x v="0"/>
    <x v="0"/>
    <x v="42"/>
    <x v="11"/>
  </r>
  <r>
    <n v="44"/>
    <s v="Parhena Norris"/>
    <x v="3"/>
    <n v="17"/>
    <x v="0"/>
    <x v="3"/>
    <x v="1"/>
    <x v="2"/>
    <x v="43"/>
    <x v="0"/>
  </r>
  <r>
    <n v="45"/>
    <s v="Katherine Ducich"/>
    <x v="3"/>
    <n v="8"/>
    <x v="0"/>
    <x v="0"/>
    <x v="1"/>
    <x v="0"/>
    <x v="44"/>
    <x v="19"/>
  </r>
  <r>
    <n v="46"/>
    <s v="Elpida Rittenbach"/>
    <x v="4"/>
    <n v="3"/>
    <x v="3"/>
    <x v="16"/>
    <x v="0"/>
    <x v="2"/>
    <x v="45"/>
    <x v="20"/>
  </r>
  <r>
    <n v="47"/>
    <s v="Rick Bensley"/>
    <x v="3"/>
    <n v="3"/>
    <x v="0"/>
    <x v="17"/>
    <x v="0"/>
    <x v="0"/>
    <x v="46"/>
    <x v="19"/>
  </r>
  <r>
    <n v="48"/>
    <s v="Gary Zandusky"/>
    <x v="1"/>
    <n v="1"/>
    <x v="2"/>
    <x v="25"/>
    <x v="1"/>
    <x v="4"/>
    <x v="47"/>
    <x v="1"/>
  </r>
  <r>
    <n v="49"/>
    <s v="Lena Cacioppo"/>
    <x v="3"/>
    <n v="5"/>
    <x v="3"/>
    <x v="11"/>
    <x v="0"/>
    <x v="2"/>
    <x v="48"/>
    <x v="21"/>
  </r>
  <r>
    <n v="50"/>
    <s v="Janet Martin"/>
    <x v="0"/>
    <n v="10"/>
    <x v="2"/>
    <x v="26"/>
    <x v="0"/>
    <x v="1"/>
    <x v="49"/>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3"/>
  </r>
  <r>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70486B-39E4-457A-947D-CB7B26733F3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0">
    <pivotField showAll="0"/>
    <pivotField showAll="0"/>
    <pivotField dataField="1" showAll="0">
      <items count="6">
        <item x="3"/>
        <item x="4"/>
        <item x="2"/>
        <item x="0"/>
        <item x="1"/>
        <item t="default"/>
      </items>
    </pivotField>
    <pivotField showAll="0"/>
    <pivotField showAll="0">
      <items count="5">
        <item x="1"/>
        <item x="2"/>
        <item x="0"/>
        <item x="3"/>
        <item t="default"/>
      </items>
    </pivotField>
    <pivotField dataField="1" showAll="0"/>
    <pivotField showAll="0">
      <items count="3">
        <item x="0"/>
        <item x="1"/>
        <item t="default"/>
      </items>
    </pivotField>
    <pivotField dataField="1" showAll="0">
      <items count="6">
        <item x="1"/>
        <item x="4"/>
        <item x="0"/>
        <item x="2"/>
        <item x="3"/>
        <item t="default"/>
      </items>
    </pivotField>
    <pivotField dataField="1" showAll="0"/>
    <pivotField showAll="0"/>
  </pivotFields>
  <rowItems count="1">
    <i/>
  </rowItems>
  <colFields count="1">
    <field x="-2"/>
  </colFields>
  <colItems count="4">
    <i>
      <x/>
    </i>
    <i i="1">
      <x v="1"/>
    </i>
    <i i="2">
      <x v="2"/>
    </i>
    <i i="3">
      <x v="3"/>
    </i>
  </colItems>
  <dataFields count="4">
    <dataField name="Sum of Monthly_Salary" fld="8" baseField="0" baseItem="0"/>
    <dataField name="Average of Age" fld="5" subtotal="average" baseField="0" baseItem="0"/>
    <dataField name="Count of City" fld="7" subtotal="count" baseField="0" baseItem="0"/>
    <dataField name="Count of Departmen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7FBE70-004C-4BE2-AAB8-5FDE020C64F1}"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
    <pivotField dataField="1" showAll="0">
      <items count="6">
        <item x="3"/>
        <item x="4"/>
        <item x="2"/>
        <item x="0"/>
        <item x="1"/>
        <item t="default"/>
      </items>
    </pivotField>
    <pivotField dataField="1" showAll="0">
      <items count="6">
        <item x="1"/>
        <item x="4"/>
        <item x="0"/>
        <item x="2"/>
        <item x="3"/>
        <item t="default"/>
      </items>
    </pivotField>
  </pivotFields>
  <rowItems count="1">
    <i/>
  </rowItems>
  <colFields count="1">
    <field x="-2"/>
  </colFields>
  <colItems count="2">
    <i>
      <x/>
    </i>
    <i i="1">
      <x v="1"/>
    </i>
  </colItems>
  <dataFields count="2">
    <dataField name="Count of City" fld="1" subtotal="count" baseField="0" baseItem="0"/>
    <dataField name="Count of Departm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663989-A7D8-4D38-87B1-AD875A973329}"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6:B37" firstHeaderRow="1" firstDataRow="1" firstDataCol="1"/>
  <pivotFields count="10">
    <pivotField showAll="0"/>
    <pivotField showAll="0"/>
    <pivotField showAll="0">
      <items count="6">
        <item x="3"/>
        <item x="4"/>
        <item x="2"/>
        <item x="0"/>
        <item x="1"/>
        <item t="default"/>
      </items>
    </pivotField>
    <pivotField showAll="0"/>
    <pivotField showAll="0">
      <items count="5">
        <item x="1"/>
        <item x="2"/>
        <item x="0"/>
        <item x="3"/>
        <item t="default"/>
      </items>
    </pivotField>
    <pivotField showAll="0">
      <items count="28">
        <item x="17"/>
        <item x="11"/>
        <item x="19"/>
        <item x="1"/>
        <item x="12"/>
        <item x="8"/>
        <item x="20"/>
        <item x="21"/>
        <item x="14"/>
        <item x="23"/>
        <item x="7"/>
        <item x="4"/>
        <item x="24"/>
        <item x="25"/>
        <item x="13"/>
        <item x="9"/>
        <item x="3"/>
        <item x="22"/>
        <item x="15"/>
        <item x="26"/>
        <item x="18"/>
        <item x="10"/>
        <item x="5"/>
        <item x="2"/>
        <item x="0"/>
        <item x="16"/>
        <item x="6"/>
        <item t="default"/>
      </items>
    </pivotField>
    <pivotField showAll="0">
      <items count="3">
        <item x="0"/>
        <item x="1"/>
        <item t="default"/>
      </items>
    </pivotField>
    <pivotField showAll="0">
      <items count="6">
        <item x="1"/>
        <item x="4"/>
        <item x="0"/>
        <item x="2"/>
        <item x="3"/>
        <item t="default"/>
      </items>
    </pivotField>
    <pivotField dataField="1" showAll="0">
      <items count="51">
        <item x="48"/>
        <item x="13"/>
        <item x="25"/>
        <item x="16"/>
        <item x="9"/>
        <item x="8"/>
        <item x="38"/>
        <item x="47"/>
        <item x="17"/>
        <item x="7"/>
        <item x="18"/>
        <item x="44"/>
        <item x="46"/>
        <item x="41"/>
        <item x="23"/>
        <item x="28"/>
        <item x="5"/>
        <item x="39"/>
        <item x="42"/>
        <item x="2"/>
        <item x="6"/>
        <item x="30"/>
        <item x="43"/>
        <item x="12"/>
        <item x="20"/>
        <item x="19"/>
        <item x="21"/>
        <item x="36"/>
        <item x="31"/>
        <item x="45"/>
        <item x="3"/>
        <item x="1"/>
        <item x="35"/>
        <item x="14"/>
        <item x="29"/>
        <item x="15"/>
        <item x="11"/>
        <item x="40"/>
        <item x="0"/>
        <item x="27"/>
        <item x="26"/>
        <item x="49"/>
        <item x="22"/>
        <item x="32"/>
        <item x="34"/>
        <item x="4"/>
        <item x="24"/>
        <item x="33"/>
        <item x="10"/>
        <item x="37"/>
        <item t="default"/>
      </items>
    </pivotField>
    <pivotField axis="axisRow" showAll="0" measureFilter="1">
      <items count="23">
        <item x="4"/>
        <item x="7"/>
        <item x="9"/>
        <item x="21"/>
        <item x="3"/>
        <item x="1"/>
        <item x="2"/>
        <item x="20"/>
        <item x="15"/>
        <item x="13"/>
        <item x="6"/>
        <item x="8"/>
        <item x="17"/>
        <item x="18"/>
        <item x="14"/>
        <item x="12"/>
        <item x="0"/>
        <item x="11"/>
        <item x="19"/>
        <item x="16"/>
        <item x="10"/>
        <item x="5"/>
        <item t="default"/>
      </items>
    </pivotField>
  </pivotFields>
  <rowFields count="1">
    <field x="9"/>
  </rowFields>
  <rowItems count="11">
    <i>
      <x v="2"/>
    </i>
    <i>
      <x v="4"/>
    </i>
    <i>
      <x v="6"/>
    </i>
    <i>
      <x v="7"/>
    </i>
    <i>
      <x v="8"/>
    </i>
    <i>
      <x v="11"/>
    </i>
    <i>
      <x v="14"/>
    </i>
    <i>
      <x v="16"/>
    </i>
    <i>
      <x v="17"/>
    </i>
    <i>
      <x v="21"/>
    </i>
    <i t="grand">
      <x/>
    </i>
  </rowItems>
  <colItems count="1">
    <i/>
  </colItems>
  <dataFields count="1">
    <dataField name="Average of Monthly_Salary" fld="8" subtotal="average" baseField="0" baseItem="0" numFmtId="164"/>
  </dataFields>
  <formats count="2">
    <format dxfId="102">
      <pivotArea outline="0" collapsedLevelsAreSubtotals="1" fieldPosition="0"/>
    </format>
    <format dxfId="101">
      <pivotArea collapsedLevelsAreSubtotals="1" fieldPosition="0">
        <references count="1">
          <reference field="9" count="10">
            <x v="2"/>
            <x v="4"/>
            <x v="6"/>
            <x v="7"/>
            <x v="8"/>
            <x v="11"/>
            <x v="14"/>
            <x v="16"/>
            <x v="17"/>
            <x v="21"/>
          </reference>
        </references>
      </pivotArea>
    </format>
  </format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70A772-C247-4F9D-98BC-F4B26FFAD964}"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8:B24" firstHeaderRow="1" firstDataRow="1" firstDataCol="1"/>
  <pivotFields count="10">
    <pivotField showAll="0"/>
    <pivotField showAll="0"/>
    <pivotField showAll="0">
      <items count="6">
        <item x="3"/>
        <item x="4"/>
        <item x="2"/>
        <item x="0"/>
        <item x="1"/>
        <item t="default"/>
      </items>
    </pivotField>
    <pivotField showAll="0"/>
    <pivotField showAll="0">
      <items count="5">
        <item x="1"/>
        <item x="2"/>
        <item x="0"/>
        <item x="3"/>
        <item t="default"/>
      </items>
    </pivotField>
    <pivotField showAll="0">
      <items count="28">
        <item x="17"/>
        <item x="11"/>
        <item x="19"/>
        <item x="1"/>
        <item x="12"/>
        <item x="8"/>
        <item x="20"/>
        <item x="21"/>
        <item x="14"/>
        <item x="23"/>
        <item x="7"/>
        <item x="4"/>
        <item x="24"/>
        <item x="25"/>
        <item x="13"/>
        <item x="9"/>
        <item x="3"/>
        <item x="22"/>
        <item x="15"/>
        <item x="26"/>
        <item x="18"/>
        <item x="10"/>
        <item x="5"/>
        <item x="2"/>
        <item x="0"/>
        <item x="16"/>
        <item x="6"/>
        <item t="default"/>
      </items>
    </pivotField>
    <pivotField showAll="0">
      <items count="3">
        <item x="0"/>
        <item x="1"/>
        <item t="default"/>
      </items>
    </pivotField>
    <pivotField axis="axisRow" showAll="0">
      <items count="6">
        <item x="1"/>
        <item x="4"/>
        <item x="0"/>
        <item x="2"/>
        <item x="3"/>
        <item t="default"/>
      </items>
    </pivotField>
    <pivotField dataField="1" showAll="0">
      <items count="51">
        <item x="48"/>
        <item x="13"/>
        <item x="25"/>
        <item x="16"/>
        <item x="9"/>
        <item x="8"/>
        <item x="38"/>
        <item x="47"/>
        <item x="17"/>
        <item x="7"/>
        <item x="18"/>
        <item x="44"/>
        <item x="46"/>
        <item x="41"/>
        <item x="23"/>
        <item x="28"/>
        <item x="5"/>
        <item x="39"/>
        <item x="42"/>
        <item x="2"/>
        <item x="6"/>
        <item x="30"/>
        <item x="43"/>
        <item x="12"/>
        <item x="20"/>
        <item x="19"/>
        <item x="21"/>
        <item x="36"/>
        <item x="31"/>
        <item x="45"/>
        <item x="3"/>
        <item x="1"/>
        <item x="35"/>
        <item x="14"/>
        <item x="29"/>
        <item x="15"/>
        <item x="11"/>
        <item x="40"/>
        <item x="0"/>
        <item x="27"/>
        <item x="26"/>
        <item x="49"/>
        <item x="22"/>
        <item x="32"/>
        <item x="34"/>
        <item x="4"/>
        <item x="24"/>
        <item x="33"/>
        <item x="10"/>
        <item x="37"/>
        <item t="default"/>
      </items>
    </pivotField>
    <pivotField showAll="0"/>
  </pivotFields>
  <rowFields count="1">
    <field x="7"/>
  </rowFields>
  <rowItems count="6">
    <i>
      <x/>
    </i>
    <i>
      <x v="1"/>
    </i>
    <i>
      <x v="2"/>
    </i>
    <i>
      <x v="3"/>
    </i>
    <i>
      <x v="4"/>
    </i>
    <i t="grand">
      <x/>
    </i>
  </rowItems>
  <colItems count="1">
    <i/>
  </colItems>
  <dataFields count="1">
    <dataField name="City Percentage By Salary" fld="8" baseField="0" baseItem="0" numFmtId="9"/>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5C65C2-E4C0-4B65-937F-DEC3C06E49F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1:B16" firstHeaderRow="1" firstDataRow="1" firstDataCol="1"/>
  <pivotFields count="10">
    <pivotField showAll="0"/>
    <pivotField showAll="0"/>
    <pivotField showAll="0">
      <items count="6">
        <item x="3"/>
        <item x="4"/>
        <item x="2"/>
        <item x="0"/>
        <item x="1"/>
        <item t="default"/>
      </items>
    </pivotField>
    <pivotField showAll="0"/>
    <pivotField axis="axisRow" showAll="0">
      <items count="5">
        <item x="1"/>
        <item x="2"/>
        <item x="0"/>
        <item x="3"/>
        <item t="default"/>
      </items>
    </pivotField>
    <pivotField showAll="0">
      <items count="28">
        <item x="17"/>
        <item x="11"/>
        <item x="19"/>
        <item x="1"/>
        <item x="12"/>
        <item x="8"/>
        <item x="20"/>
        <item x="21"/>
        <item x="14"/>
        <item x="23"/>
        <item x="7"/>
        <item x="4"/>
        <item x="24"/>
        <item x="25"/>
        <item x="13"/>
        <item x="9"/>
        <item x="3"/>
        <item x="22"/>
        <item x="15"/>
        <item x="26"/>
        <item x="18"/>
        <item x="10"/>
        <item x="5"/>
        <item x="2"/>
        <item x="0"/>
        <item x="16"/>
        <item x="6"/>
        <item t="default"/>
      </items>
    </pivotField>
    <pivotField showAll="0">
      <items count="3">
        <item x="0"/>
        <item x="1"/>
        <item t="default"/>
      </items>
    </pivotField>
    <pivotField showAll="0">
      <items count="6">
        <item x="1"/>
        <item x="4"/>
        <item x="0"/>
        <item x="2"/>
        <item x="3"/>
        <item t="default"/>
      </items>
    </pivotField>
    <pivotField dataField="1" showAll="0"/>
    <pivotField showAll="0"/>
  </pivotFields>
  <rowFields count="1">
    <field x="4"/>
  </rowFields>
  <rowItems count="5">
    <i>
      <x/>
    </i>
    <i>
      <x v="1"/>
    </i>
    <i>
      <x v="2"/>
    </i>
    <i>
      <x v="3"/>
    </i>
    <i t="grand">
      <x/>
    </i>
  </rowItems>
  <colItems count="1">
    <i/>
  </colItems>
  <dataFields count="1">
    <dataField name="Salary by Education" fld="8" baseField="0" baseItem="0"/>
  </dataField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E69CE0-C574-4EC8-AC76-EEB8A81E435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B9" firstHeaderRow="1" firstDataRow="1" firstDataCol="1"/>
  <pivotFields count="10">
    <pivotField showAll="0"/>
    <pivotField showAll="0"/>
    <pivotField showAll="0">
      <items count="6">
        <item x="3"/>
        <item x="4"/>
        <item x="2"/>
        <item x="0"/>
        <item x="1"/>
        <item t="default"/>
      </items>
    </pivotField>
    <pivotField showAll="0"/>
    <pivotField showAll="0">
      <items count="5">
        <item x="1"/>
        <item x="2"/>
        <item x="0"/>
        <item x="3"/>
        <item t="default"/>
      </items>
    </pivotField>
    <pivotField showAll="0">
      <items count="28">
        <item x="17"/>
        <item x="11"/>
        <item x="19"/>
        <item x="1"/>
        <item x="12"/>
        <item x="8"/>
        <item x="20"/>
        <item x="21"/>
        <item x="14"/>
        <item x="23"/>
        <item x="7"/>
        <item x="4"/>
        <item x="24"/>
        <item x="25"/>
        <item x="13"/>
        <item x="9"/>
        <item x="3"/>
        <item x="22"/>
        <item x="15"/>
        <item x="26"/>
        <item x="18"/>
        <item x="10"/>
        <item x="5"/>
        <item x="2"/>
        <item x="0"/>
        <item x="16"/>
        <item x="6"/>
        <item t="default"/>
      </items>
    </pivotField>
    <pivotField axis="axisRow" showAll="0">
      <items count="3">
        <item x="0"/>
        <item x="1"/>
        <item t="default"/>
      </items>
    </pivotField>
    <pivotField showAll="0">
      <items count="6">
        <item x="1"/>
        <item x="4"/>
        <item x="0"/>
        <item x="2"/>
        <item x="3"/>
        <item t="default"/>
      </items>
    </pivotField>
    <pivotField dataField="1" showAll="0"/>
    <pivotField showAll="0"/>
  </pivotFields>
  <rowFields count="1">
    <field x="6"/>
  </rowFields>
  <rowItems count="3">
    <i>
      <x/>
    </i>
    <i>
      <x v="1"/>
    </i>
    <i t="grand">
      <x/>
    </i>
  </rowItems>
  <colItems count="1">
    <i/>
  </colItems>
  <dataFields count="1">
    <dataField name="Salary by Gender" fld="8"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92F0C0-2BDF-4D5C-887B-9A4AB31A468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0">
    <pivotField showAll="0"/>
    <pivotField showAll="0"/>
    <pivotField showAll="0">
      <items count="6">
        <item x="3"/>
        <item x="4"/>
        <item x="2"/>
        <item x="0"/>
        <item x="1"/>
        <item t="default"/>
      </items>
    </pivotField>
    <pivotField showAll="0"/>
    <pivotField showAll="0">
      <items count="5">
        <item x="1"/>
        <item x="2"/>
        <item x="0"/>
        <item x="3"/>
        <item t="default"/>
      </items>
    </pivotField>
    <pivotField dataField="1" showAll="0"/>
    <pivotField showAll="0">
      <items count="3">
        <item x="0"/>
        <item x="1"/>
        <item t="default"/>
      </items>
    </pivotField>
    <pivotField showAll="0">
      <items count="6">
        <item x="1"/>
        <item x="4"/>
        <item x="0"/>
        <item x="2"/>
        <item x="3"/>
        <item t="default"/>
      </items>
    </pivotField>
    <pivotField dataField="1" showAll="0"/>
    <pivotField showAll="0"/>
  </pivotFields>
  <rowItems count="1">
    <i/>
  </rowItems>
  <colFields count="1">
    <field x="-2"/>
  </colFields>
  <colItems count="2">
    <i>
      <x/>
    </i>
    <i i="1">
      <x v="1"/>
    </i>
  </colItems>
  <dataFields count="2">
    <dataField name="Sum of Monthly_Salary" fld="8" baseField="0" baseItem="0"/>
    <dataField name="Average of Age" fld="5" subtotal="average" baseField="0" baseItem="0" numFmtId="1"/>
  </dataFields>
  <formats count="1">
    <format dxfId="10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1E43EC-2D11-4D46-82A9-38115D7EFBDD}"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9:B45" firstHeaderRow="1" firstDataRow="1" firstDataCol="1"/>
  <pivotFields count="10">
    <pivotField showAll="0"/>
    <pivotField showAll="0"/>
    <pivotField axis="axisRow" showAll="0">
      <items count="6">
        <item x="3"/>
        <item x="4"/>
        <item x="2"/>
        <item x="0"/>
        <item x="1"/>
        <item t="default"/>
      </items>
    </pivotField>
    <pivotField showAll="0"/>
    <pivotField showAll="0">
      <items count="5">
        <item x="1"/>
        <item x="2"/>
        <item x="0"/>
        <item x="3"/>
        <item t="default"/>
      </items>
    </pivotField>
    <pivotField showAll="0">
      <items count="28">
        <item x="17"/>
        <item x="11"/>
        <item x="19"/>
        <item x="1"/>
        <item x="12"/>
        <item x="8"/>
        <item x="20"/>
        <item x="21"/>
        <item x="14"/>
        <item x="23"/>
        <item x="7"/>
        <item x="4"/>
        <item x="24"/>
        <item x="25"/>
        <item x="13"/>
        <item x="9"/>
        <item x="3"/>
        <item x="22"/>
        <item x="15"/>
        <item x="26"/>
        <item x="18"/>
        <item x="10"/>
        <item x="5"/>
        <item x="2"/>
        <item x="0"/>
        <item x="16"/>
        <item x="6"/>
        <item t="default"/>
      </items>
    </pivotField>
    <pivotField showAll="0">
      <items count="3">
        <item x="0"/>
        <item x="1"/>
        <item t="default"/>
      </items>
    </pivotField>
    <pivotField showAll="0">
      <items count="6">
        <item x="1"/>
        <item x="4"/>
        <item x="0"/>
        <item x="2"/>
        <item x="3"/>
        <item t="default"/>
      </items>
    </pivotField>
    <pivotField dataField="1" showAll="0">
      <items count="51">
        <item x="48"/>
        <item x="13"/>
        <item x="25"/>
        <item x="16"/>
        <item x="9"/>
        <item x="8"/>
        <item x="38"/>
        <item x="47"/>
        <item x="17"/>
        <item x="7"/>
        <item x="18"/>
        <item x="44"/>
        <item x="46"/>
        <item x="41"/>
        <item x="23"/>
        <item x="28"/>
        <item x="5"/>
        <item x="39"/>
        <item x="42"/>
        <item x="2"/>
        <item x="6"/>
        <item x="30"/>
        <item x="43"/>
        <item x="12"/>
        <item x="20"/>
        <item x="19"/>
        <item x="21"/>
        <item x="36"/>
        <item x="31"/>
        <item x="45"/>
        <item x="3"/>
        <item x="1"/>
        <item x="35"/>
        <item x="14"/>
        <item x="29"/>
        <item x="15"/>
        <item x="11"/>
        <item x="40"/>
        <item x="0"/>
        <item x="27"/>
        <item x="26"/>
        <item x="49"/>
        <item x="22"/>
        <item x="32"/>
        <item x="34"/>
        <item x="4"/>
        <item x="24"/>
        <item x="33"/>
        <item x="10"/>
        <item x="37"/>
        <item t="default"/>
      </items>
    </pivotField>
    <pivotField showAll="0">
      <items count="23">
        <item x="4"/>
        <item x="7"/>
        <item x="9"/>
        <item x="21"/>
        <item x="3"/>
        <item x="1"/>
        <item x="2"/>
        <item x="20"/>
        <item x="15"/>
        <item x="13"/>
        <item x="6"/>
        <item x="8"/>
        <item x="17"/>
        <item x="18"/>
        <item x="14"/>
        <item x="12"/>
        <item x="0"/>
        <item x="11"/>
        <item x="19"/>
        <item x="16"/>
        <item x="10"/>
        <item x="5"/>
        <item t="default"/>
      </items>
    </pivotField>
  </pivotFields>
  <rowFields count="1">
    <field x="2"/>
  </rowFields>
  <rowItems count="6">
    <i>
      <x/>
    </i>
    <i>
      <x v="1"/>
    </i>
    <i>
      <x v="2"/>
    </i>
    <i>
      <x v="3"/>
    </i>
    <i>
      <x v="4"/>
    </i>
    <i t="grand">
      <x/>
    </i>
  </rowItems>
  <colItems count="1">
    <i/>
  </colItems>
  <dataFields count="1">
    <dataField name="Sum of Monthly_Salary" fld="8" baseField="0" baseItem="0"/>
  </dataFields>
  <formats count="1">
    <format dxfId="103">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6D954766-7EBE-475F-8918-4172CC683F13}" sourceName="Education_Level">
  <pivotTables>
    <pivotTable tabId="5" name="PivotTable7"/>
    <pivotTable tabId="5" name="PivotTable1"/>
    <pivotTable tabId="5" name="PivotTable3"/>
    <pivotTable tabId="5" name="PivotTable4"/>
    <pivotTable tabId="5" name="PivotTable5"/>
    <pivotTable tabId="5" name="PivotTable6"/>
    <pivotTable tabId="6" name="PivotTable1"/>
  </pivotTables>
  <data>
    <tabular pivotCacheId="2043964880">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4C1E598-0FE4-4593-B33C-42797AE8E985}" sourceName="Department">
  <pivotTables>
    <pivotTable tabId="5" name="PivotTable7"/>
    <pivotTable tabId="5" name="PivotTable1"/>
    <pivotTable tabId="5" name="PivotTable3"/>
    <pivotTable tabId="5" name="PivotTable4"/>
    <pivotTable tabId="5" name="PivotTable5"/>
    <pivotTable tabId="5" name="PivotTable6"/>
    <pivotTable tabId="6" name="PivotTable1"/>
  </pivotTables>
  <data>
    <tabular pivotCacheId="2043964880">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5560251-77AD-4979-9BF1-3D9CB6998CC5}" sourceName="Gender">
  <pivotTables>
    <pivotTable tabId="5" name="PivotTable7"/>
    <pivotTable tabId="5" name="PivotTable1"/>
    <pivotTable tabId="5" name="PivotTable3"/>
    <pivotTable tabId="5" name="PivotTable4"/>
    <pivotTable tabId="5" name="PivotTable5"/>
    <pivotTable tabId="5" name="PivotTable6"/>
    <pivotTable tabId="6" name="PivotTable1"/>
  </pivotTables>
  <data>
    <tabular pivotCacheId="204396488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F626849-C2C4-4389-A7C1-E3F42D8A3C4D}" sourceName="City">
  <pivotTables>
    <pivotTable tabId="5" name="PivotTable7"/>
    <pivotTable tabId="5" name="PivotTable1"/>
    <pivotTable tabId="5" name="PivotTable3"/>
    <pivotTable tabId="5" name="PivotTable4"/>
    <pivotTable tabId="5" name="PivotTable5"/>
    <pivotTable tabId="5" name="PivotTable6"/>
    <pivotTable tabId="6" name="PivotTable1"/>
  </pivotTables>
  <data>
    <tabular pivotCacheId="2043964880">
      <items count="5">
        <i x="1"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_Level" xr10:uid="{6DA49DCA-920E-4B81-B0F4-5930A4CEE4CD}" cache="Slicer_Education_Level" caption="Education_Level" columnCount="2" style="SlicerStyleDark6" rowHeight="360000"/>
  <slicer name="Department" xr10:uid="{DA9576F0-91A2-4520-85A2-352971B877C2}" cache="Slicer_Department" caption="Department" columnCount="3" style="SlicerStyleDark6" rowHeight="396000"/>
  <slicer name="Gender" xr10:uid="{7DCF708D-F6BD-41A0-9F84-8B47F1F9C557}" cache="Slicer_Gender" caption="Gender" columnCount="2" style="SlicerStyleDark6" rowHeight="540000"/>
  <slicer name="City" xr10:uid="{F37F50C9-9736-4FA2-AA81-3564FB21AC73}" cache="Slicer_City" caption="City" columnCount="3" style="SlicerStyleDark6"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5A6B8-DE30-4545-9DB7-46C540B8BDFF}">
  <dimension ref="A3:J4"/>
  <sheetViews>
    <sheetView workbookViewId="0">
      <selection activeCell="G4" sqref="G4"/>
    </sheetView>
  </sheetViews>
  <sheetFormatPr defaultRowHeight="14.4" x14ac:dyDescent="0.3"/>
  <cols>
    <col min="1" max="1" width="21" bestFit="1" customWidth="1"/>
    <col min="2" max="2" width="13.88671875" bestFit="1" customWidth="1"/>
    <col min="3" max="3" width="12" bestFit="1" customWidth="1"/>
    <col min="4" max="4" width="19.109375" bestFit="1" customWidth="1"/>
  </cols>
  <sheetData>
    <row r="3" spans="1:10" x14ac:dyDescent="0.3">
      <c r="A3" t="s">
        <v>99</v>
      </c>
      <c r="B3" t="s">
        <v>12</v>
      </c>
      <c r="C3" t="s">
        <v>116</v>
      </c>
      <c r="D3" t="s">
        <v>115</v>
      </c>
    </row>
    <row r="4" spans="1:10" x14ac:dyDescent="0.3">
      <c r="A4" s="13">
        <v>4114440</v>
      </c>
      <c r="B4" s="13">
        <v>39.76</v>
      </c>
      <c r="C4" s="13">
        <v>50</v>
      </c>
      <c r="D4" s="13">
        <v>50</v>
      </c>
      <c r="G4">
        <f>A4</f>
        <v>4114440</v>
      </c>
      <c r="H4">
        <f>B4</f>
        <v>39.76</v>
      </c>
      <c r="I4">
        <f t="shared" ref="I4:J4" si="0">C4</f>
        <v>50</v>
      </c>
      <c r="J4">
        <f t="shared" si="0"/>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9D67B-0E5D-430A-884F-9257892595AF}">
  <dimension ref="A3:E4"/>
  <sheetViews>
    <sheetView workbookViewId="0">
      <selection activeCell="A4" sqref="A4"/>
    </sheetView>
  </sheetViews>
  <sheetFormatPr defaultRowHeight="14.4" x14ac:dyDescent="0.3"/>
  <cols>
    <col min="1" max="1" width="12" bestFit="1" customWidth="1"/>
    <col min="2" max="3" width="19.109375" bestFit="1" customWidth="1"/>
  </cols>
  <sheetData>
    <row r="3" spans="1:5" x14ac:dyDescent="0.3">
      <c r="A3" t="s">
        <v>116</v>
      </c>
      <c r="B3" t="s">
        <v>115</v>
      </c>
    </row>
    <row r="4" spans="1:5" x14ac:dyDescent="0.3">
      <c r="A4" s="13">
        <v>5</v>
      </c>
      <c r="B4" s="13">
        <v>5</v>
      </c>
      <c r="D4">
        <f>A4</f>
        <v>5</v>
      </c>
      <c r="E4">
        <f>B4</f>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3DDA6-A75A-4E7E-9ECA-67310DAF18B9}">
  <dimension ref="A1:M51"/>
  <sheetViews>
    <sheetView topLeftCell="H1" workbookViewId="0">
      <selection activeCell="I8" sqref="I8"/>
    </sheetView>
  </sheetViews>
  <sheetFormatPr defaultRowHeight="14.4" x14ac:dyDescent="0.3"/>
  <cols>
    <col min="1" max="9" width="23" customWidth="1"/>
    <col min="10" max="10" width="27.77734375" bestFit="1" customWidth="1"/>
    <col min="11" max="23" width="23" customWidth="1"/>
  </cols>
  <sheetData>
    <row r="1" spans="1:13" ht="15.6" x14ac:dyDescent="0.3">
      <c r="A1" s="3" t="s">
        <v>2</v>
      </c>
      <c r="B1" s="3" t="s">
        <v>13</v>
      </c>
      <c r="C1" s="3" t="s">
        <v>1</v>
      </c>
      <c r="D1" s="3" t="s">
        <v>14</v>
      </c>
      <c r="E1" s="3" t="s">
        <v>15</v>
      </c>
      <c r="F1" s="3" t="s">
        <v>0</v>
      </c>
      <c r="G1" s="3" t="s">
        <v>3</v>
      </c>
      <c r="H1" s="3" t="s">
        <v>16</v>
      </c>
      <c r="I1" s="3" t="s">
        <v>17</v>
      </c>
      <c r="J1" s="3" t="s">
        <v>4</v>
      </c>
      <c r="L1" s="3" t="s">
        <v>1</v>
      </c>
      <c r="M1" s="3" t="s">
        <v>16</v>
      </c>
    </row>
    <row r="2" spans="1:13" ht="15.6" x14ac:dyDescent="0.3">
      <c r="A2" s="3">
        <v>1</v>
      </c>
      <c r="B2" s="3" t="s">
        <v>18</v>
      </c>
      <c r="C2" s="3" t="s">
        <v>11</v>
      </c>
      <c r="D2" s="3">
        <v>15</v>
      </c>
      <c r="E2" s="3" t="s">
        <v>19</v>
      </c>
      <c r="F2" s="3">
        <v>53</v>
      </c>
      <c r="G2" s="3" t="s">
        <v>5</v>
      </c>
      <c r="H2" s="3" t="s">
        <v>20</v>
      </c>
      <c r="I2" s="3">
        <v>111416</v>
      </c>
      <c r="J2" s="3" t="s">
        <v>8</v>
      </c>
      <c r="L2" s="3" t="s">
        <v>11</v>
      </c>
      <c r="M2" s="3" t="s">
        <v>20</v>
      </c>
    </row>
    <row r="3" spans="1:13" ht="15.6" x14ac:dyDescent="0.3">
      <c r="A3" s="3">
        <v>2</v>
      </c>
      <c r="B3" s="3" t="s">
        <v>21</v>
      </c>
      <c r="C3" s="3" t="s">
        <v>22</v>
      </c>
      <c r="D3" s="3">
        <v>7</v>
      </c>
      <c r="E3" s="3" t="s">
        <v>23</v>
      </c>
      <c r="F3" s="3">
        <v>25</v>
      </c>
      <c r="G3" s="3" t="s">
        <v>5</v>
      </c>
      <c r="H3" s="3" t="s">
        <v>24</v>
      </c>
      <c r="I3" s="3">
        <v>95271</v>
      </c>
      <c r="J3" s="3" t="s">
        <v>25</v>
      </c>
      <c r="L3" s="3" t="s">
        <v>22</v>
      </c>
      <c r="M3" s="3" t="s">
        <v>24</v>
      </c>
    </row>
    <row r="4" spans="1:13" ht="15.6" x14ac:dyDescent="0.3">
      <c r="A4" s="3">
        <v>3</v>
      </c>
      <c r="B4" s="3" t="s">
        <v>26</v>
      </c>
      <c r="C4" s="3" t="s">
        <v>27</v>
      </c>
      <c r="D4" s="3">
        <v>12</v>
      </c>
      <c r="E4" s="3" t="s">
        <v>28</v>
      </c>
      <c r="F4" s="3">
        <v>51</v>
      </c>
      <c r="G4" s="3" t="s">
        <v>5</v>
      </c>
      <c r="H4" s="3" t="s">
        <v>29</v>
      </c>
      <c r="I4" s="3">
        <v>69064</v>
      </c>
      <c r="J4" s="3" t="s">
        <v>30</v>
      </c>
      <c r="L4" s="3" t="s">
        <v>27</v>
      </c>
      <c r="M4" s="3" t="s">
        <v>29</v>
      </c>
    </row>
    <row r="5" spans="1:13" ht="15.6" x14ac:dyDescent="0.3">
      <c r="A5" s="3">
        <v>4</v>
      </c>
      <c r="B5" s="3" t="s">
        <v>31</v>
      </c>
      <c r="C5" s="3" t="s">
        <v>22</v>
      </c>
      <c r="D5" s="3">
        <v>8</v>
      </c>
      <c r="E5" s="3" t="s">
        <v>32</v>
      </c>
      <c r="F5" s="3">
        <v>44</v>
      </c>
      <c r="G5" s="3" t="s">
        <v>7</v>
      </c>
      <c r="H5" s="3" t="s">
        <v>20</v>
      </c>
      <c r="I5" s="3">
        <v>95091</v>
      </c>
      <c r="J5" s="3" t="s">
        <v>25</v>
      </c>
      <c r="L5" s="3" t="s">
        <v>36</v>
      </c>
      <c r="M5" s="3" t="s">
        <v>37</v>
      </c>
    </row>
    <row r="6" spans="1:13" ht="15.6" x14ac:dyDescent="0.3">
      <c r="A6" s="3">
        <v>5</v>
      </c>
      <c r="B6" s="3" t="s">
        <v>33</v>
      </c>
      <c r="C6" s="3" t="s">
        <v>22</v>
      </c>
      <c r="D6" s="3">
        <v>15</v>
      </c>
      <c r="E6" s="3" t="s">
        <v>19</v>
      </c>
      <c r="F6" s="3">
        <v>36</v>
      </c>
      <c r="G6" s="3" t="s">
        <v>5</v>
      </c>
      <c r="H6" s="3" t="s">
        <v>20</v>
      </c>
      <c r="I6" s="3">
        <v>132450</v>
      </c>
      <c r="J6" s="3" t="s">
        <v>34</v>
      </c>
      <c r="L6" s="3" t="s">
        <v>59</v>
      </c>
      <c r="M6" s="3" t="s">
        <v>57</v>
      </c>
    </row>
    <row r="7" spans="1:13" ht="15.6" x14ac:dyDescent="0.3">
      <c r="A7" s="3">
        <v>6</v>
      </c>
      <c r="B7" s="3" t="s">
        <v>35</v>
      </c>
      <c r="C7" s="3" t="s">
        <v>36</v>
      </c>
      <c r="D7" s="3">
        <v>3</v>
      </c>
      <c r="E7" s="3" t="s">
        <v>28</v>
      </c>
      <c r="F7" s="3">
        <v>50</v>
      </c>
      <c r="G7" s="3" t="s">
        <v>7</v>
      </c>
      <c r="H7" s="3" t="s">
        <v>37</v>
      </c>
      <c r="I7" s="3">
        <v>65818</v>
      </c>
      <c r="J7" s="3" t="s">
        <v>38</v>
      </c>
      <c r="L7" s="1"/>
      <c r="M7" s="1"/>
    </row>
    <row r="8" spans="1:13" ht="15.6" x14ac:dyDescent="0.3">
      <c r="A8" s="3">
        <v>7</v>
      </c>
      <c r="B8" s="3" t="s">
        <v>39</v>
      </c>
      <c r="C8" s="3" t="s">
        <v>27</v>
      </c>
      <c r="D8" s="3">
        <v>14</v>
      </c>
      <c r="E8" s="3" t="s">
        <v>32</v>
      </c>
      <c r="F8" s="3">
        <v>57</v>
      </c>
      <c r="G8" s="3" t="s">
        <v>7</v>
      </c>
      <c r="H8" s="3" t="s">
        <v>37</v>
      </c>
      <c r="I8" s="3">
        <v>70525</v>
      </c>
      <c r="J8" s="3" t="s">
        <v>40</v>
      </c>
    </row>
    <row r="9" spans="1:13" ht="15.6" x14ac:dyDescent="0.3">
      <c r="A9" s="3">
        <v>8</v>
      </c>
      <c r="B9" s="3" t="s">
        <v>41</v>
      </c>
      <c r="C9" s="3" t="s">
        <v>27</v>
      </c>
      <c r="D9" s="3">
        <v>17</v>
      </c>
      <c r="E9" s="3" t="s">
        <v>32</v>
      </c>
      <c r="F9" s="3">
        <v>34</v>
      </c>
      <c r="G9" s="3" t="s">
        <v>5</v>
      </c>
      <c r="H9" s="3" t="s">
        <v>24</v>
      </c>
      <c r="I9" s="3">
        <v>44830</v>
      </c>
      <c r="J9" s="3" t="s">
        <v>10</v>
      </c>
    </row>
    <row r="10" spans="1:13" ht="15.6" x14ac:dyDescent="0.3">
      <c r="A10" s="3">
        <v>9</v>
      </c>
      <c r="B10" s="3" t="s">
        <v>42</v>
      </c>
      <c r="C10" s="3" t="s">
        <v>27</v>
      </c>
      <c r="D10" s="3">
        <v>4</v>
      </c>
      <c r="E10" s="3" t="s">
        <v>23</v>
      </c>
      <c r="F10" s="3">
        <v>53</v>
      </c>
      <c r="G10" s="3" t="s">
        <v>7</v>
      </c>
      <c r="H10" s="3" t="s">
        <v>29</v>
      </c>
      <c r="I10" s="3">
        <v>42429</v>
      </c>
      <c r="J10" s="3" t="s">
        <v>43</v>
      </c>
    </row>
    <row r="11" spans="1:13" ht="15.6" x14ac:dyDescent="0.3">
      <c r="A11" s="3">
        <v>10</v>
      </c>
      <c r="B11" s="3" t="s">
        <v>44</v>
      </c>
      <c r="C11" s="3" t="s">
        <v>22</v>
      </c>
      <c r="D11" s="3">
        <v>18</v>
      </c>
      <c r="E11" s="3" t="s">
        <v>28</v>
      </c>
      <c r="F11" s="3">
        <v>28</v>
      </c>
      <c r="G11" s="3" t="s">
        <v>7</v>
      </c>
      <c r="H11" s="3" t="s">
        <v>37</v>
      </c>
      <c r="I11" s="3">
        <v>31893</v>
      </c>
      <c r="J11" s="3" t="s">
        <v>10</v>
      </c>
    </row>
    <row r="12" spans="1:13" ht="15.6" x14ac:dyDescent="0.3">
      <c r="A12" s="3">
        <v>11</v>
      </c>
      <c r="B12" s="3" t="s">
        <v>45</v>
      </c>
      <c r="C12" s="3" t="s">
        <v>11</v>
      </c>
      <c r="D12" s="3">
        <v>8</v>
      </c>
      <c r="E12" s="3" t="s">
        <v>32</v>
      </c>
      <c r="F12" s="3">
        <v>43</v>
      </c>
      <c r="G12" s="3" t="s">
        <v>7</v>
      </c>
      <c r="H12" s="3" t="s">
        <v>20</v>
      </c>
      <c r="I12" s="3">
        <v>141381</v>
      </c>
      <c r="J12" s="3" t="s">
        <v>46</v>
      </c>
    </row>
    <row r="13" spans="1:13" ht="15.6" x14ac:dyDescent="0.3">
      <c r="A13" s="3">
        <v>12</v>
      </c>
      <c r="B13" s="3" t="s">
        <v>47</v>
      </c>
      <c r="C13" s="3" t="s">
        <v>27</v>
      </c>
      <c r="D13" s="3">
        <v>4</v>
      </c>
      <c r="E13" s="3" t="s">
        <v>19</v>
      </c>
      <c r="F13" s="3">
        <v>49</v>
      </c>
      <c r="G13" s="3" t="s">
        <v>5</v>
      </c>
      <c r="H13" s="3" t="s">
        <v>29</v>
      </c>
      <c r="I13" s="3">
        <v>104909</v>
      </c>
      <c r="J13" s="3" t="s">
        <v>48</v>
      </c>
    </row>
    <row r="14" spans="1:13" ht="15.6" x14ac:dyDescent="0.3">
      <c r="A14" s="3">
        <v>13</v>
      </c>
      <c r="B14" s="3" t="s">
        <v>49</v>
      </c>
      <c r="C14" s="3" t="s">
        <v>22</v>
      </c>
      <c r="D14" s="3">
        <v>2</v>
      </c>
      <c r="E14" s="3" t="s">
        <v>19</v>
      </c>
      <c r="F14" s="3">
        <v>23</v>
      </c>
      <c r="G14" s="3" t="s">
        <v>5</v>
      </c>
      <c r="H14" s="3" t="s">
        <v>29</v>
      </c>
      <c r="I14" s="3">
        <v>72333</v>
      </c>
      <c r="J14" s="3" t="s">
        <v>50</v>
      </c>
    </row>
    <row r="15" spans="1:13" ht="15.6" x14ac:dyDescent="0.3">
      <c r="A15" s="3">
        <v>14</v>
      </c>
      <c r="B15" s="3" t="s">
        <v>51</v>
      </c>
      <c r="C15" s="3" t="s">
        <v>36</v>
      </c>
      <c r="D15" s="3">
        <v>6</v>
      </c>
      <c r="E15" s="3" t="s">
        <v>23</v>
      </c>
      <c r="F15" s="3">
        <v>27</v>
      </c>
      <c r="G15" s="3" t="s">
        <v>7</v>
      </c>
      <c r="H15" s="3" t="s">
        <v>20</v>
      </c>
      <c r="I15" s="3">
        <v>28436</v>
      </c>
      <c r="J15" s="3" t="s">
        <v>38</v>
      </c>
    </row>
    <row r="16" spans="1:13" ht="15.6" x14ac:dyDescent="0.3">
      <c r="A16" s="3">
        <v>15</v>
      </c>
      <c r="B16" s="3" t="s">
        <v>52</v>
      </c>
      <c r="C16" s="3" t="s">
        <v>11</v>
      </c>
      <c r="D16" s="3">
        <v>10</v>
      </c>
      <c r="E16" s="3" t="s">
        <v>32</v>
      </c>
      <c r="F16" s="3">
        <v>49</v>
      </c>
      <c r="G16" s="3" t="s">
        <v>5</v>
      </c>
      <c r="H16" s="3" t="s">
        <v>37</v>
      </c>
      <c r="I16" s="3">
        <v>99290</v>
      </c>
      <c r="J16" s="3" t="s">
        <v>53</v>
      </c>
    </row>
    <row r="17" spans="1:10" ht="15.6" x14ac:dyDescent="0.3">
      <c r="A17" s="3">
        <v>16</v>
      </c>
      <c r="B17" s="3" t="s">
        <v>54</v>
      </c>
      <c r="C17" s="3" t="s">
        <v>36</v>
      </c>
      <c r="D17" s="3">
        <v>4</v>
      </c>
      <c r="E17" s="3" t="s">
        <v>28</v>
      </c>
      <c r="F17" s="3">
        <v>49</v>
      </c>
      <c r="G17" s="3" t="s">
        <v>5</v>
      </c>
      <c r="H17" s="3" t="s">
        <v>20</v>
      </c>
      <c r="I17" s="3">
        <v>101213</v>
      </c>
      <c r="J17" s="3" t="s">
        <v>43</v>
      </c>
    </row>
    <row r="18" spans="1:10" ht="15.6" x14ac:dyDescent="0.3">
      <c r="A18" s="3">
        <v>17</v>
      </c>
      <c r="B18" s="3" t="s">
        <v>55</v>
      </c>
      <c r="C18" s="3" t="s">
        <v>11</v>
      </c>
      <c r="D18" s="3">
        <v>18</v>
      </c>
      <c r="E18" s="3" t="s">
        <v>19</v>
      </c>
      <c r="F18" s="3">
        <v>41</v>
      </c>
      <c r="G18" s="3" t="s">
        <v>5</v>
      </c>
      <c r="H18" s="3" t="s">
        <v>29</v>
      </c>
      <c r="I18" s="3">
        <v>30895</v>
      </c>
      <c r="J18" s="3" t="s">
        <v>6</v>
      </c>
    </row>
    <row r="19" spans="1:10" ht="15.6" x14ac:dyDescent="0.3">
      <c r="A19" s="3">
        <v>18</v>
      </c>
      <c r="B19" s="3" t="s">
        <v>56</v>
      </c>
      <c r="C19" s="3" t="s">
        <v>22</v>
      </c>
      <c r="D19" s="3">
        <v>12</v>
      </c>
      <c r="E19" s="3" t="s">
        <v>32</v>
      </c>
      <c r="F19" s="3">
        <v>51</v>
      </c>
      <c r="G19" s="3" t="s">
        <v>5</v>
      </c>
      <c r="H19" s="3" t="s">
        <v>57</v>
      </c>
      <c r="I19" s="3">
        <v>44738</v>
      </c>
      <c r="J19" s="3" t="s">
        <v>50</v>
      </c>
    </row>
    <row r="20" spans="1:10" ht="15.6" x14ac:dyDescent="0.3">
      <c r="A20" s="3">
        <v>19</v>
      </c>
      <c r="B20" s="3" t="s">
        <v>58</v>
      </c>
      <c r="C20" s="3" t="s">
        <v>59</v>
      </c>
      <c r="D20" s="3">
        <v>2</v>
      </c>
      <c r="E20" s="3" t="s">
        <v>32</v>
      </c>
      <c r="F20" s="3">
        <v>32</v>
      </c>
      <c r="G20" s="3" t="s">
        <v>7</v>
      </c>
      <c r="H20" s="3" t="s">
        <v>57</v>
      </c>
      <c r="I20" s="3">
        <v>55746</v>
      </c>
      <c r="J20" s="3" t="s">
        <v>60</v>
      </c>
    </row>
    <row r="21" spans="1:10" ht="15.6" x14ac:dyDescent="0.3">
      <c r="A21" s="3">
        <v>20</v>
      </c>
      <c r="B21" s="3" t="s">
        <v>61</v>
      </c>
      <c r="C21" s="3" t="s">
        <v>11</v>
      </c>
      <c r="D21" s="3">
        <v>10</v>
      </c>
      <c r="E21" s="3" t="s">
        <v>23</v>
      </c>
      <c r="F21" s="3">
        <v>49</v>
      </c>
      <c r="G21" s="3" t="s">
        <v>7</v>
      </c>
      <c r="H21" s="3" t="s">
        <v>24</v>
      </c>
      <c r="I21" s="3">
        <v>74377</v>
      </c>
      <c r="J21" s="3" t="s">
        <v>6</v>
      </c>
    </row>
    <row r="22" spans="1:10" ht="15.6" x14ac:dyDescent="0.3">
      <c r="A22" s="3">
        <v>21</v>
      </c>
      <c r="B22" s="3" t="s">
        <v>62</v>
      </c>
      <c r="C22" s="3" t="s">
        <v>36</v>
      </c>
      <c r="D22" s="3">
        <v>4</v>
      </c>
      <c r="E22" s="3" t="s">
        <v>19</v>
      </c>
      <c r="F22" s="3">
        <v>46</v>
      </c>
      <c r="G22" s="3" t="s">
        <v>5</v>
      </c>
      <c r="H22" s="3" t="s">
        <v>20</v>
      </c>
      <c r="I22" s="3">
        <v>73404</v>
      </c>
      <c r="J22" s="3" t="s">
        <v>10</v>
      </c>
    </row>
    <row r="23" spans="1:10" ht="15.6" x14ac:dyDescent="0.3">
      <c r="A23" s="3">
        <v>22</v>
      </c>
      <c r="B23" s="3" t="s">
        <v>63</v>
      </c>
      <c r="C23" s="3" t="s">
        <v>22</v>
      </c>
      <c r="D23" s="3">
        <v>14</v>
      </c>
      <c r="E23" s="3" t="s">
        <v>19</v>
      </c>
      <c r="F23" s="3">
        <v>54</v>
      </c>
      <c r="G23" s="3" t="s">
        <v>5</v>
      </c>
      <c r="H23" s="3" t="s">
        <v>20</v>
      </c>
      <c r="I23" s="3">
        <v>79045</v>
      </c>
      <c r="J23" s="3" t="s">
        <v>43</v>
      </c>
    </row>
    <row r="24" spans="1:10" ht="15.6" x14ac:dyDescent="0.3">
      <c r="A24" s="3">
        <v>23</v>
      </c>
      <c r="B24" s="3" t="s">
        <v>64</v>
      </c>
      <c r="C24" s="3" t="s">
        <v>11</v>
      </c>
      <c r="D24" s="3">
        <v>16</v>
      </c>
      <c r="E24" s="3" t="s">
        <v>28</v>
      </c>
      <c r="F24" s="3">
        <v>22</v>
      </c>
      <c r="G24" s="3" t="s">
        <v>7</v>
      </c>
      <c r="H24" s="3" t="s">
        <v>24</v>
      </c>
      <c r="I24" s="3">
        <v>122888</v>
      </c>
      <c r="J24" s="3" t="s">
        <v>9</v>
      </c>
    </row>
    <row r="25" spans="1:10" ht="15.6" x14ac:dyDescent="0.3">
      <c r="A25" s="3">
        <v>24</v>
      </c>
      <c r="B25" s="3" t="s">
        <v>65</v>
      </c>
      <c r="C25" s="3" t="s">
        <v>59</v>
      </c>
      <c r="D25" s="3">
        <v>15</v>
      </c>
      <c r="E25" s="3" t="s">
        <v>19</v>
      </c>
      <c r="F25" s="3">
        <v>48</v>
      </c>
      <c r="G25" s="3" t="s">
        <v>7</v>
      </c>
      <c r="H25" s="3" t="s">
        <v>24</v>
      </c>
      <c r="I25" s="3">
        <v>64790</v>
      </c>
      <c r="J25" s="3" t="s">
        <v>66</v>
      </c>
    </row>
    <row r="26" spans="1:10" ht="15.6" x14ac:dyDescent="0.3">
      <c r="A26" s="3">
        <v>25</v>
      </c>
      <c r="B26" s="3" t="s">
        <v>67</v>
      </c>
      <c r="C26" s="3" t="s">
        <v>59</v>
      </c>
      <c r="D26" s="3">
        <v>8</v>
      </c>
      <c r="E26" s="3" t="s">
        <v>28</v>
      </c>
      <c r="F26" s="3">
        <v>34</v>
      </c>
      <c r="G26" s="3" t="s">
        <v>5</v>
      </c>
      <c r="H26" s="3" t="s">
        <v>24</v>
      </c>
      <c r="I26" s="3">
        <v>132455</v>
      </c>
      <c r="J26" s="3" t="s">
        <v>66</v>
      </c>
    </row>
    <row r="27" spans="1:10" ht="15.6" x14ac:dyDescent="0.3">
      <c r="A27" s="3">
        <v>26</v>
      </c>
      <c r="B27" s="3" t="s">
        <v>68</v>
      </c>
      <c r="C27" s="3" t="s">
        <v>27</v>
      </c>
      <c r="D27" s="3">
        <v>14</v>
      </c>
      <c r="E27" s="3" t="s">
        <v>19</v>
      </c>
      <c r="F27" s="3">
        <v>24</v>
      </c>
      <c r="G27" s="3" t="s">
        <v>7</v>
      </c>
      <c r="H27" s="3" t="s">
        <v>29</v>
      </c>
      <c r="I27" s="3">
        <v>30600</v>
      </c>
      <c r="J27" s="3" t="s">
        <v>69</v>
      </c>
    </row>
    <row r="28" spans="1:10" ht="15.6" x14ac:dyDescent="0.3">
      <c r="A28" s="3">
        <v>27</v>
      </c>
      <c r="B28" s="3" t="s">
        <v>70</v>
      </c>
      <c r="C28" s="3" t="s">
        <v>27</v>
      </c>
      <c r="D28" s="3">
        <v>8</v>
      </c>
      <c r="E28" s="3" t="s">
        <v>23</v>
      </c>
      <c r="F28" s="3">
        <v>27</v>
      </c>
      <c r="G28" s="3" t="s">
        <v>5</v>
      </c>
      <c r="H28" s="3" t="s">
        <v>20</v>
      </c>
      <c r="I28" s="3">
        <v>119660</v>
      </c>
      <c r="J28" s="3" t="s">
        <v>30</v>
      </c>
    </row>
    <row r="29" spans="1:10" ht="15.6" x14ac:dyDescent="0.3">
      <c r="A29" s="3">
        <v>28</v>
      </c>
      <c r="B29" s="3" t="s">
        <v>71</v>
      </c>
      <c r="C29" s="3" t="s">
        <v>36</v>
      </c>
      <c r="D29" s="3">
        <v>16</v>
      </c>
      <c r="E29" s="3" t="s">
        <v>19</v>
      </c>
      <c r="F29" s="3">
        <v>29</v>
      </c>
      <c r="G29" s="3" t="s">
        <v>5</v>
      </c>
      <c r="H29" s="3" t="s">
        <v>29</v>
      </c>
      <c r="I29" s="3">
        <v>118179</v>
      </c>
      <c r="J29" s="3" t="s">
        <v>8</v>
      </c>
    </row>
    <row r="30" spans="1:10" ht="15.6" x14ac:dyDescent="0.3">
      <c r="A30" s="3">
        <v>29</v>
      </c>
      <c r="B30" s="3" t="s">
        <v>72</v>
      </c>
      <c r="C30" s="3" t="s">
        <v>11</v>
      </c>
      <c r="D30" s="3">
        <v>13</v>
      </c>
      <c r="E30" s="3" t="s">
        <v>28</v>
      </c>
      <c r="F30" s="3">
        <v>48</v>
      </c>
      <c r="G30" s="3" t="s">
        <v>7</v>
      </c>
      <c r="H30" s="3" t="s">
        <v>24</v>
      </c>
      <c r="I30" s="3">
        <v>65764</v>
      </c>
      <c r="J30" s="3" t="s">
        <v>8</v>
      </c>
    </row>
    <row r="31" spans="1:10" ht="15.6" x14ac:dyDescent="0.3">
      <c r="A31" s="3">
        <v>30</v>
      </c>
      <c r="B31" s="3" t="s">
        <v>73</v>
      </c>
      <c r="C31" s="3" t="s">
        <v>11</v>
      </c>
      <c r="D31" s="3">
        <v>18</v>
      </c>
      <c r="E31" s="3" t="s">
        <v>28</v>
      </c>
      <c r="F31" s="3">
        <v>30</v>
      </c>
      <c r="G31" s="3" t="s">
        <v>7</v>
      </c>
      <c r="H31" s="3" t="s">
        <v>20</v>
      </c>
      <c r="I31" s="3">
        <v>99543</v>
      </c>
      <c r="J31" s="3" t="s">
        <v>10</v>
      </c>
    </row>
    <row r="32" spans="1:10" ht="15.6" x14ac:dyDescent="0.3">
      <c r="A32" s="3">
        <v>31</v>
      </c>
      <c r="B32" s="3" t="s">
        <v>74</v>
      </c>
      <c r="C32" s="3" t="s">
        <v>27</v>
      </c>
      <c r="D32" s="3">
        <v>15</v>
      </c>
      <c r="E32" s="3" t="s">
        <v>23</v>
      </c>
      <c r="F32" s="3">
        <v>54</v>
      </c>
      <c r="G32" s="3" t="s">
        <v>5</v>
      </c>
      <c r="H32" s="3" t="s">
        <v>29</v>
      </c>
      <c r="I32" s="3">
        <v>70714</v>
      </c>
      <c r="J32" s="3" t="s">
        <v>75</v>
      </c>
    </row>
    <row r="33" spans="1:10" ht="15.6" x14ac:dyDescent="0.3">
      <c r="A33" s="3">
        <v>32</v>
      </c>
      <c r="B33" s="3" t="s">
        <v>76</v>
      </c>
      <c r="C33" s="3" t="s">
        <v>11</v>
      </c>
      <c r="D33" s="3">
        <v>13</v>
      </c>
      <c r="E33" s="3" t="s">
        <v>19</v>
      </c>
      <c r="F33" s="3">
        <v>45</v>
      </c>
      <c r="G33" s="3" t="s">
        <v>5</v>
      </c>
      <c r="H33" s="3" t="s">
        <v>29</v>
      </c>
      <c r="I33" s="3">
        <v>81835</v>
      </c>
      <c r="J33" s="3" t="s">
        <v>46</v>
      </c>
    </row>
    <row r="34" spans="1:10" ht="15.6" x14ac:dyDescent="0.3">
      <c r="A34" s="3">
        <v>33</v>
      </c>
      <c r="B34" s="3" t="s">
        <v>77</v>
      </c>
      <c r="C34" s="3" t="s">
        <v>11</v>
      </c>
      <c r="D34" s="3">
        <v>9</v>
      </c>
      <c r="E34" s="3" t="s">
        <v>19</v>
      </c>
      <c r="F34" s="3">
        <v>36</v>
      </c>
      <c r="G34" s="3" t="s">
        <v>7</v>
      </c>
      <c r="H34" s="3" t="s">
        <v>24</v>
      </c>
      <c r="I34" s="3">
        <v>127946</v>
      </c>
      <c r="J34" s="3" t="s">
        <v>53</v>
      </c>
    </row>
    <row r="35" spans="1:10" ht="15.6" x14ac:dyDescent="0.3">
      <c r="A35" s="3">
        <v>34</v>
      </c>
      <c r="B35" s="3" t="s">
        <v>78</v>
      </c>
      <c r="C35" s="3" t="s">
        <v>59</v>
      </c>
      <c r="D35" s="3">
        <v>15</v>
      </c>
      <c r="E35" s="3" t="s">
        <v>23</v>
      </c>
      <c r="F35" s="3">
        <v>53</v>
      </c>
      <c r="G35" s="3" t="s">
        <v>5</v>
      </c>
      <c r="H35" s="3" t="s">
        <v>20</v>
      </c>
      <c r="I35" s="3">
        <v>134616</v>
      </c>
      <c r="J35" s="3" t="s">
        <v>66</v>
      </c>
    </row>
    <row r="36" spans="1:10" ht="15.6" x14ac:dyDescent="0.3">
      <c r="A36" s="3">
        <v>35</v>
      </c>
      <c r="B36" s="3" t="s">
        <v>79</v>
      </c>
      <c r="C36" s="3" t="s">
        <v>27</v>
      </c>
      <c r="D36" s="3">
        <v>13</v>
      </c>
      <c r="E36" s="3" t="s">
        <v>19</v>
      </c>
      <c r="F36" s="3">
        <v>53</v>
      </c>
      <c r="G36" s="3" t="s">
        <v>7</v>
      </c>
      <c r="H36" s="3" t="s">
        <v>24</v>
      </c>
      <c r="I36" s="3">
        <v>130983</v>
      </c>
      <c r="J36" s="3" t="s">
        <v>40</v>
      </c>
    </row>
    <row r="37" spans="1:10" ht="15.6" x14ac:dyDescent="0.3">
      <c r="A37" s="3">
        <v>36</v>
      </c>
      <c r="B37" s="3" t="s">
        <v>80</v>
      </c>
      <c r="C37" s="3" t="s">
        <v>22</v>
      </c>
      <c r="D37" s="3">
        <v>1</v>
      </c>
      <c r="E37" s="3" t="s">
        <v>19</v>
      </c>
      <c r="F37" s="3">
        <v>45</v>
      </c>
      <c r="G37" s="3" t="s">
        <v>5</v>
      </c>
      <c r="H37" s="3" t="s">
        <v>20</v>
      </c>
      <c r="I37" s="3">
        <v>98744</v>
      </c>
      <c r="J37" s="3" t="s">
        <v>50</v>
      </c>
    </row>
    <row r="38" spans="1:10" ht="15.6" x14ac:dyDescent="0.3">
      <c r="A38" s="3">
        <v>37</v>
      </c>
      <c r="B38" s="3" t="s">
        <v>81</v>
      </c>
      <c r="C38" s="3" t="s">
        <v>27</v>
      </c>
      <c r="D38" s="3">
        <v>7</v>
      </c>
      <c r="E38" s="3" t="s">
        <v>28</v>
      </c>
      <c r="F38" s="3">
        <v>33</v>
      </c>
      <c r="G38" s="3" t="s">
        <v>7</v>
      </c>
      <c r="H38" s="3" t="s">
        <v>57</v>
      </c>
      <c r="I38" s="3">
        <v>81491</v>
      </c>
      <c r="J38" s="3" t="s">
        <v>40</v>
      </c>
    </row>
    <row r="39" spans="1:10" ht="15.6" x14ac:dyDescent="0.3">
      <c r="A39" s="3">
        <v>38</v>
      </c>
      <c r="B39" s="3" t="s">
        <v>82</v>
      </c>
      <c r="C39" s="3" t="s">
        <v>22</v>
      </c>
      <c r="D39" s="3">
        <v>9</v>
      </c>
      <c r="E39" s="3" t="s">
        <v>19</v>
      </c>
      <c r="F39" s="3">
        <v>23</v>
      </c>
      <c r="G39" s="3" t="s">
        <v>7</v>
      </c>
      <c r="H39" s="3" t="s">
        <v>37</v>
      </c>
      <c r="I39" s="3">
        <v>149123</v>
      </c>
      <c r="J39" s="3" t="s">
        <v>34</v>
      </c>
    </row>
    <row r="40" spans="1:10" ht="15.6" x14ac:dyDescent="0.3">
      <c r="A40" s="3">
        <v>39</v>
      </c>
      <c r="B40" s="3" t="s">
        <v>83</v>
      </c>
      <c r="C40" s="3" t="s">
        <v>59</v>
      </c>
      <c r="D40" s="3">
        <v>1</v>
      </c>
      <c r="E40" s="3" t="s">
        <v>19</v>
      </c>
      <c r="F40" s="3">
        <v>24</v>
      </c>
      <c r="G40" s="3" t="s">
        <v>7</v>
      </c>
      <c r="H40" s="3" t="s">
        <v>37</v>
      </c>
      <c r="I40" s="3">
        <v>43589</v>
      </c>
      <c r="J40" s="3" t="s">
        <v>84</v>
      </c>
    </row>
    <row r="41" spans="1:10" ht="15.6" x14ac:dyDescent="0.3">
      <c r="A41" s="3">
        <v>40</v>
      </c>
      <c r="B41" s="3" t="s">
        <v>85</v>
      </c>
      <c r="C41" s="3" t="s">
        <v>36</v>
      </c>
      <c r="D41" s="3">
        <v>12</v>
      </c>
      <c r="E41" s="3" t="s">
        <v>23</v>
      </c>
      <c r="F41" s="3">
        <v>38</v>
      </c>
      <c r="G41" s="3" t="s">
        <v>5</v>
      </c>
      <c r="H41" s="3" t="s">
        <v>37</v>
      </c>
      <c r="I41" s="3">
        <v>68484</v>
      </c>
      <c r="J41" s="3" t="s">
        <v>8</v>
      </c>
    </row>
    <row r="42" spans="1:10" ht="15.6" x14ac:dyDescent="0.3">
      <c r="A42" s="3">
        <v>41</v>
      </c>
      <c r="B42" s="3" t="s">
        <v>86</v>
      </c>
      <c r="C42" s="3" t="s">
        <v>11</v>
      </c>
      <c r="D42" s="3">
        <v>8</v>
      </c>
      <c r="E42" s="3" t="s">
        <v>23</v>
      </c>
      <c r="F42" s="3">
        <v>23</v>
      </c>
      <c r="G42" s="3" t="s">
        <v>5</v>
      </c>
      <c r="H42" s="3" t="s">
        <v>24</v>
      </c>
      <c r="I42" s="3">
        <v>107989</v>
      </c>
      <c r="J42" s="3" t="s">
        <v>46</v>
      </c>
    </row>
    <row r="43" spans="1:10" ht="15.6" x14ac:dyDescent="0.3">
      <c r="A43" s="3">
        <v>42</v>
      </c>
      <c r="B43" s="3" t="s">
        <v>87</v>
      </c>
      <c r="C43" s="3" t="s">
        <v>59</v>
      </c>
      <c r="D43" s="3">
        <v>11</v>
      </c>
      <c r="E43" s="3" t="s">
        <v>32</v>
      </c>
      <c r="F43" s="3">
        <v>23</v>
      </c>
      <c r="G43" s="3" t="s">
        <v>7</v>
      </c>
      <c r="H43" s="3" t="s">
        <v>57</v>
      </c>
      <c r="I43" s="3">
        <v>61212</v>
      </c>
      <c r="J43" s="3" t="s">
        <v>84</v>
      </c>
    </row>
    <row r="44" spans="1:10" ht="15.6" x14ac:dyDescent="0.3">
      <c r="A44" s="3">
        <v>43</v>
      </c>
      <c r="B44" s="3" t="s">
        <v>88</v>
      </c>
      <c r="C44" s="3" t="s">
        <v>11</v>
      </c>
      <c r="D44" s="3">
        <v>19</v>
      </c>
      <c r="E44" s="3" t="s">
        <v>28</v>
      </c>
      <c r="F44" s="3">
        <v>49</v>
      </c>
      <c r="G44" s="3" t="s">
        <v>5</v>
      </c>
      <c r="H44" s="3" t="s">
        <v>20</v>
      </c>
      <c r="I44" s="3">
        <v>68525</v>
      </c>
      <c r="J44" s="3" t="s">
        <v>53</v>
      </c>
    </row>
    <row r="45" spans="1:10" ht="15.6" x14ac:dyDescent="0.3">
      <c r="A45" s="3">
        <v>44</v>
      </c>
      <c r="B45" s="3" t="s">
        <v>89</v>
      </c>
      <c r="C45" s="3" t="s">
        <v>36</v>
      </c>
      <c r="D45" s="3">
        <v>17</v>
      </c>
      <c r="E45" s="3" t="s">
        <v>19</v>
      </c>
      <c r="F45" s="3">
        <v>44</v>
      </c>
      <c r="G45" s="3" t="s">
        <v>7</v>
      </c>
      <c r="H45" s="3" t="s">
        <v>29</v>
      </c>
      <c r="I45" s="3">
        <v>72202</v>
      </c>
      <c r="J45" s="3" t="s">
        <v>8</v>
      </c>
    </row>
    <row r="46" spans="1:10" ht="15.6" x14ac:dyDescent="0.3">
      <c r="A46" s="3">
        <v>45</v>
      </c>
      <c r="B46" s="3" t="s">
        <v>90</v>
      </c>
      <c r="C46" s="3" t="s">
        <v>36</v>
      </c>
      <c r="D46" s="3">
        <v>8</v>
      </c>
      <c r="E46" s="3" t="s">
        <v>19</v>
      </c>
      <c r="F46" s="3">
        <v>53</v>
      </c>
      <c r="G46" s="3" t="s">
        <v>7</v>
      </c>
      <c r="H46" s="3" t="s">
        <v>20</v>
      </c>
      <c r="I46" s="3">
        <v>57635</v>
      </c>
      <c r="J46" s="3" t="s">
        <v>91</v>
      </c>
    </row>
    <row r="47" spans="1:10" ht="15.6" x14ac:dyDescent="0.3">
      <c r="A47" s="3">
        <v>46</v>
      </c>
      <c r="B47" s="3" t="s">
        <v>92</v>
      </c>
      <c r="C47" s="3" t="s">
        <v>59</v>
      </c>
      <c r="D47" s="3">
        <v>3</v>
      </c>
      <c r="E47" s="3" t="s">
        <v>32</v>
      </c>
      <c r="F47" s="3">
        <v>54</v>
      </c>
      <c r="G47" s="3" t="s">
        <v>5</v>
      </c>
      <c r="H47" s="3" t="s">
        <v>29</v>
      </c>
      <c r="I47" s="3">
        <v>88208</v>
      </c>
      <c r="J47" s="3" t="s">
        <v>93</v>
      </c>
    </row>
    <row r="48" spans="1:10" ht="15.6" x14ac:dyDescent="0.3">
      <c r="A48" s="3">
        <v>47</v>
      </c>
      <c r="B48" s="3" t="s">
        <v>94</v>
      </c>
      <c r="C48" s="3" t="s">
        <v>36</v>
      </c>
      <c r="D48" s="3">
        <v>3</v>
      </c>
      <c r="E48" s="3" t="s">
        <v>19</v>
      </c>
      <c r="F48" s="3">
        <v>22</v>
      </c>
      <c r="G48" s="3" t="s">
        <v>5</v>
      </c>
      <c r="H48" s="3" t="s">
        <v>20</v>
      </c>
      <c r="I48" s="3">
        <v>58828</v>
      </c>
      <c r="J48" s="3" t="s">
        <v>91</v>
      </c>
    </row>
    <row r="49" spans="1:10" ht="15.6" x14ac:dyDescent="0.3">
      <c r="A49" s="3">
        <v>48</v>
      </c>
      <c r="B49" s="3" t="s">
        <v>95</v>
      </c>
      <c r="C49" s="3" t="s">
        <v>22</v>
      </c>
      <c r="D49" s="3">
        <v>1</v>
      </c>
      <c r="E49" s="3" t="s">
        <v>28</v>
      </c>
      <c r="F49" s="3">
        <v>40</v>
      </c>
      <c r="G49" s="3" t="s">
        <v>7</v>
      </c>
      <c r="H49" s="3" t="s">
        <v>57</v>
      </c>
      <c r="I49" s="3">
        <v>43711</v>
      </c>
      <c r="J49" s="3" t="s">
        <v>25</v>
      </c>
    </row>
    <row r="50" spans="1:10" ht="15.6" x14ac:dyDescent="0.3">
      <c r="A50" s="3">
        <v>49</v>
      </c>
      <c r="B50" s="3" t="s">
        <v>96</v>
      </c>
      <c r="C50" s="3" t="s">
        <v>36</v>
      </c>
      <c r="D50" s="3">
        <v>5</v>
      </c>
      <c r="E50" s="3" t="s">
        <v>32</v>
      </c>
      <c r="F50" s="3">
        <v>23</v>
      </c>
      <c r="G50" s="3" t="s">
        <v>5</v>
      </c>
      <c r="H50" s="3" t="s">
        <v>29</v>
      </c>
      <c r="I50" s="3">
        <v>28420</v>
      </c>
      <c r="J50" s="3" t="s">
        <v>97</v>
      </c>
    </row>
    <row r="51" spans="1:10" ht="15.6" x14ac:dyDescent="0.3">
      <c r="A51" s="3">
        <v>50</v>
      </c>
      <c r="B51" s="3" t="s">
        <v>98</v>
      </c>
      <c r="C51" s="3" t="s">
        <v>11</v>
      </c>
      <c r="D51" s="3">
        <v>10</v>
      </c>
      <c r="E51" s="3" t="s">
        <v>28</v>
      </c>
      <c r="F51" s="3">
        <v>47</v>
      </c>
      <c r="G51" s="3" t="s">
        <v>5</v>
      </c>
      <c r="H51" s="3" t="s">
        <v>24</v>
      </c>
      <c r="I51" s="3">
        <v>121752</v>
      </c>
      <c r="J51" s="3"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41C5C-FE91-4625-B078-1E3C414DC659}">
  <dimension ref="A1"/>
  <sheetViews>
    <sheetView showGridLines="0" tabSelected="1" zoomScale="90" zoomScaleNormal="90" workbookViewId="0">
      <selection activeCell="U22" sqref="U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F7F91-3490-46D1-8190-6826C39438B4}">
  <dimension ref="A1:I45"/>
  <sheetViews>
    <sheetView workbookViewId="0">
      <selection activeCell="E15" sqref="E15"/>
    </sheetView>
  </sheetViews>
  <sheetFormatPr defaultRowHeight="14.4" x14ac:dyDescent="0.3"/>
  <cols>
    <col min="1" max="1" width="20" bestFit="1" customWidth="1"/>
    <col min="2" max="2" width="24.21875" bestFit="1" customWidth="1"/>
    <col min="3" max="3" width="3" bestFit="1" customWidth="1"/>
    <col min="4" max="9" width="19.6640625" customWidth="1"/>
    <col min="10" max="28" width="3" bestFit="1" customWidth="1"/>
    <col min="29" max="29" width="10.77734375" bestFit="1" customWidth="1"/>
  </cols>
  <sheetData>
    <row r="1" spans="1:9" ht="15.6" x14ac:dyDescent="0.3">
      <c r="C1" s="4"/>
      <c r="D1" s="4"/>
    </row>
    <row r="2" spans="1:9" ht="21" x14ac:dyDescent="0.4">
      <c r="C2" s="4"/>
      <c r="D2" s="4"/>
      <c r="I2" s="8" t="s">
        <v>108</v>
      </c>
    </row>
    <row r="3" spans="1:9" ht="15.6" x14ac:dyDescent="0.3">
      <c r="A3" t="s">
        <v>99</v>
      </c>
      <c r="B3" t="s">
        <v>12</v>
      </c>
      <c r="C3" s="4"/>
      <c r="D3" s="5" t="s">
        <v>100</v>
      </c>
      <c r="E3" s="5" t="s">
        <v>102</v>
      </c>
      <c r="F3" s="5" t="s">
        <v>104</v>
      </c>
      <c r="G3" s="5" t="s">
        <v>107</v>
      </c>
    </row>
    <row r="4" spans="1:9" ht="18" x14ac:dyDescent="0.35">
      <c r="A4" s="13">
        <v>4114440</v>
      </c>
      <c r="B4" s="2">
        <v>39.76</v>
      </c>
      <c r="C4" s="4"/>
      <c r="D4" s="6" t="s">
        <v>101</v>
      </c>
      <c r="E4" s="6" t="s">
        <v>103</v>
      </c>
      <c r="F4" s="6" t="s">
        <v>105</v>
      </c>
      <c r="G4" s="6" t="s">
        <v>106</v>
      </c>
    </row>
    <row r="5" spans="1:9" ht="18" x14ac:dyDescent="0.35">
      <c r="C5" s="4"/>
      <c r="D5" s="6">
        <v>4114440</v>
      </c>
      <c r="E5" s="7">
        <v>39.76</v>
      </c>
      <c r="F5" s="6">
        <v>5</v>
      </c>
      <c r="G5" s="6">
        <v>5</v>
      </c>
    </row>
    <row r="6" spans="1:9" x14ac:dyDescent="0.3">
      <c r="A6" s="9" t="s">
        <v>109</v>
      </c>
      <c r="B6" t="s">
        <v>111</v>
      </c>
    </row>
    <row r="7" spans="1:9" x14ac:dyDescent="0.3">
      <c r="A7" s="10" t="s">
        <v>5</v>
      </c>
      <c r="B7" s="13">
        <v>2357267</v>
      </c>
    </row>
    <row r="8" spans="1:9" x14ac:dyDescent="0.3">
      <c r="A8" s="10" t="s">
        <v>7</v>
      </c>
      <c r="B8" s="13">
        <v>1757173</v>
      </c>
    </row>
    <row r="9" spans="1:9" x14ac:dyDescent="0.3">
      <c r="A9" s="10" t="s">
        <v>110</v>
      </c>
      <c r="B9" s="13">
        <v>4114440</v>
      </c>
    </row>
    <row r="11" spans="1:9" x14ac:dyDescent="0.3">
      <c r="A11" s="9" t="s">
        <v>109</v>
      </c>
      <c r="B11" t="s">
        <v>112</v>
      </c>
    </row>
    <row r="12" spans="1:9" x14ac:dyDescent="0.3">
      <c r="A12" s="10" t="s">
        <v>23</v>
      </c>
      <c r="B12" s="13">
        <v>741976</v>
      </c>
    </row>
    <row r="13" spans="1:9" x14ac:dyDescent="0.3">
      <c r="A13" s="10" t="s">
        <v>28</v>
      </c>
      <c r="B13" s="13">
        <v>1004117</v>
      </c>
    </row>
    <row r="14" spans="1:9" x14ac:dyDescent="0.3">
      <c r="A14" s="10" t="s">
        <v>19</v>
      </c>
      <c r="B14" s="13">
        <v>1638906</v>
      </c>
    </row>
    <row r="15" spans="1:9" x14ac:dyDescent="0.3">
      <c r="A15" s="10" t="s">
        <v>32</v>
      </c>
      <c r="B15" s="13">
        <v>729441</v>
      </c>
    </row>
    <row r="16" spans="1:9" x14ac:dyDescent="0.3">
      <c r="A16" s="10" t="s">
        <v>110</v>
      </c>
      <c r="B16" s="13">
        <v>4114440</v>
      </c>
    </row>
    <row r="18" spans="1:2" x14ac:dyDescent="0.3">
      <c r="A18" s="9" t="s">
        <v>109</v>
      </c>
      <c r="B18" t="s">
        <v>113</v>
      </c>
    </row>
    <row r="19" spans="1:2" x14ac:dyDescent="0.3">
      <c r="A19" s="10" t="s">
        <v>24</v>
      </c>
      <c r="B19" s="11">
        <v>1089045</v>
      </c>
    </row>
    <row r="20" spans="1:2" x14ac:dyDescent="0.3">
      <c r="A20" s="10" t="s">
        <v>57</v>
      </c>
      <c r="B20" s="11">
        <v>286898</v>
      </c>
    </row>
    <row r="21" spans="1:2" x14ac:dyDescent="0.3">
      <c r="A21" s="10" t="s">
        <v>20</v>
      </c>
      <c r="B21" s="11">
        <v>1399987</v>
      </c>
    </row>
    <row r="22" spans="1:2" x14ac:dyDescent="0.3">
      <c r="A22" s="10" t="s">
        <v>29</v>
      </c>
      <c r="B22" s="11">
        <v>809788</v>
      </c>
    </row>
    <row r="23" spans="1:2" x14ac:dyDescent="0.3">
      <c r="A23" s="10" t="s">
        <v>37</v>
      </c>
      <c r="B23" s="11">
        <v>528722</v>
      </c>
    </row>
    <row r="24" spans="1:2" x14ac:dyDescent="0.3">
      <c r="A24" s="10" t="s">
        <v>110</v>
      </c>
      <c r="B24" s="11">
        <v>4114440</v>
      </c>
    </row>
    <row r="26" spans="1:2" x14ac:dyDescent="0.3">
      <c r="A26" s="9" t="s">
        <v>109</v>
      </c>
      <c r="B26" t="s">
        <v>114</v>
      </c>
    </row>
    <row r="27" spans="1:2" x14ac:dyDescent="0.3">
      <c r="A27" s="10" t="s">
        <v>48</v>
      </c>
      <c r="B27" s="2">
        <v>104909</v>
      </c>
    </row>
    <row r="28" spans="1:2" x14ac:dyDescent="0.3">
      <c r="A28" s="10" t="s">
        <v>34</v>
      </c>
      <c r="B28" s="2">
        <v>140786.5</v>
      </c>
    </row>
    <row r="29" spans="1:2" x14ac:dyDescent="0.3">
      <c r="A29" s="10" t="s">
        <v>30</v>
      </c>
      <c r="B29" s="2">
        <v>94362</v>
      </c>
    </row>
    <row r="30" spans="1:2" x14ac:dyDescent="0.3">
      <c r="A30" s="10" t="s">
        <v>93</v>
      </c>
      <c r="B30" s="2">
        <v>88208</v>
      </c>
    </row>
    <row r="31" spans="1:2" x14ac:dyDescent="0.3">
      <c r="A31" s="10" t="s">
        <v>66</v>
      </c>
      <c r="B31" s="2">
        <v>110620.33333333333</v>
      </c>
    </row>
    <row r="32" spans="1:2" x14ac:dyDescent="0.3">
      <c r="A32" s="10" t="s">
        <v>46</v>
      </c>
      <c r="B32" s="2">
        <v>110401.66666666667</v>
      </c>
    </row>
    <row r="33" spans="1:2" x14ac:dyDescent="0.3">
      <c r="A33" s="10" t="s">
        <v>9</v>
      </c>
      <c r="B33" s="2">
        <v>122888</v>
      </c>
    </row>
    <row r="34" spans="1:2" x14ac:dyDescent="0.3">
      <c r="A34" s="10" t="s">
        <v>8</v>
      </c>
      <c r="B34" s="2">
        <v>87209</v>
      </c>
    </row>
    <row r="35" spans="1:2" x14ac:dyDescent="0.3">
      <c r="A35" s="10" t="s">
        <v>53</v>
      </c>
      <c r="B35" s="2">
        <v>98587</v>
      </c>
    </row>
    <row r="36" spans="1:2" x14ac:dyDescent="0.3">
      <c r="A36" s="10" t="s">
        <v>40</v>
      </c>
      <c r="B36" s="2">
        <v>94333</v>
      </c>
    </row>
    <row r="37" spans="1:2" x14ac:dyDescent="0.3">
      <c r="A37" s="10" t="s">
        <v>110</v>
      </c>
      <c r="B37" s="12">
        <v>102673.875</v>
      </c>
    </row>
    <row r="39" spans="1:2" x14ac:dyDescent="0.3">
      <c r="A39" s="9" t="s">
        <v>109</v>
      </c>
      <c r="B39" t="s">
        <v>99</v>
      </c>
    </row>
    <row r="40" spans="1:2" x14ac:dyDescent="0.3">
      <c r="A40" s="10" t="s">
        <v>36</v>
      </c>
      <c r="B40" s="12">
        <v>672619</v>
      </c>
    </row>
    <row r="41" spans="1:2" x14ac:dyDescent="0.3">
      <c r="A41" s="10" t="s">
        <v>59</v>
      </c>
      <c r="B41" s="12">
        <v>580616</v>
      </c>
    </row>
    <row r="42" spans="1:2" x14ac:dyDescent="0.3">
      <c r="A42" s="10" t="s">
        <v>27</v>
      </c>
      <c r="B42" s="12">
        <v>765205</v>
      </c>
    </row>
    <row r="43" spans="1:2" x14ac:dyDescent="0.3">
      <c r="A43" s="10" t="s">
        <v>11</v>
      </c>
      <c r="B43" s="12">
        <v>1253601</v>
      </c>
    </row>
    <row r="44" spans="1:2" x14ac:dyDescent="0.3">
      <c r="A44" s="10" t="s">
        <v>22</v>
      </c>
      <c r="B44" s="12">
        <v>842399</v>
      </c>
    </row>
    <row r="45" spans="1:2" x14ac:dyDescent="0.3">
      <c r="A45" s="10" t="s">
        <v>110</v>
      </c>
      <c r="B45" s="12">
        <v>4114440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employees_data</vt:lpstr>
      <vt:lpstr>Dashboard</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Saini</dc:creator>
  <cp:lastModifiedBy>Priyanka Saini</cp:lastModifiedBy>
  <dcterms:created xsi:type="dcterms:W3CDTF">2026-10-01T12:24:20Z</dcterms:created>
  <dcterms:modified xsi:type="dcterms:W3CDTF">2026-10-13T08:42:49Z</dcterms:modified>
</cp:coreProperties>
</file>